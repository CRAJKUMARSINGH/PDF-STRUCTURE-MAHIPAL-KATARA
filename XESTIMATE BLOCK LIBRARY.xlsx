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Documents\MAHIPAL KATARA\"/>
    </mc:Choice>
  </mc:AlternateContent>
  <bookViews>
    <workbookView visibility="hidden" xWindow="-15" yWindow="1680" windowWidth="9570" windowHeight="3105" tabRatio="880" firstSheet="1" activeTab="1"/>
    <workbookView visibility="hidden" xWindow="0" yWindow="210" windowWidth="9720" windowHeight="6345" tabRatio="922"/>
  </bookViews>
  <sheets>
    <sheet name="gen-abstract" sheetId="21" r:id="rId1"/>
    <sheet name="Sheet2" sheetId="23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G8" i="21" l="1"/>
  <c r="N12" i="23"/>
  <c r="M12" i="23"/>
  <c r="L12" i="23"/>
  <c r="K12" i="23"/>
  <c r="M10" i="23"/>
  <c r="G6" i="21" l="1"/>
  <c r="G14" i="21" s="1"/>
  <c r="G10" i="21" l="1"/>
  <c r="G12" i="21" s="1"/>
  <c r="D16" i="21"/>
  <c r="G16" i="21" s="1"/>
  <c r="G17" i="21" l="1"/>
  <c r="G19" i="21" s="1"/>
</calcChain>
</file>

<file path=xl/sharedStrings.xml><?xml version="1.0" encoding="utf-8"?>
<sst xmlns="http://schemas.openxmlformats.org/spreadsheetml/2006/main" count="18" uniqueCount="15">
  <si>
    <t>CHARTERED   ENGINEER,</t>
  </si>
  <si>
    <t>GENERAL ABSTRACT OF COST</t>
  </si>
  <si>
    <t>Rs.</t>
  </si>
  <si>
    <t>TOTAL Rs.</t>
  </si>
  <si>
    <t>i.e. on Rs.</t>
  </si>
  <si>
    <t>SAY Rs.</t>
  </si>
  <si>
    <t>GRAND TOTAL Rs.</t>
  </si>
  <si>
    <t>Lacs.</t>
  </si>
  <si>
    <t xml:space="preserve">PART 'A'  CIVIL WORK GROUND FLOOR </t>
  </si>
  <si>
    <t>PART 'B'  ELECTRIC  WORK @ 12% OF Civil Work</t>
  </si>
  <si>
    <t>RKS TECHNO-LEGAL CONSULTANTS, UDAIPUR</t>
  </si>
  <si>
    <t>Add @ 2 % for Electric Fixtures On Civil Work Part 'A'</t>
  </si>
  <si>
    <t>NAME OF WORK :- Construction of Block Level Library Building at Vakhatpura, PS- Arthuna</t>
  </si>
  <si>
    <t>Add @ Lump Sum  for Furniture</t>
  </si>
  <si>
    <t xml:space="preserve">PART 'B'  CIVIL WORK FIRST FLOOR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</si>
</sst>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Arial"/>
    </font>
    <font>
      <b/>
      <sz val="12"/>
      <name val="Arial"/>
    </font>
    <font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Continuous"/>
    </xf>
    <xf numFmtId="2" fontId="0" fillId="0" borderId="0" xfId="0" applyNumberFormat="1"/>
    <xf numFmtId="0" fontId="0" fillId="0" borderId="0" xfId="0" quotePrefix="1" applyAlignment="1">
      <alignment horizontal="left"/>
    </xf>
    <xf numFmtId="2" fontId="0" fillId="0" borderId="1" xfId="0" applyNumberFormat="1" applyBorder="1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Continuous"/>
    </xf>
    <xf numFmtId="2" fontId="3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quotePrefix="1" applyFont="1" applyAlignment="1">
      <alignment horizontal="left" vertical="top" wrapText="1"/>
    </xf>
    <xf numFmtId="0" fontId="3" fillId="0" borderId="0" xfId="0" quotePrefix="1" applyFont="1" applyAlignment="1">
      <alignment horizontal="centerContinuous" vertical="top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Continuous"/>
    </xf>
    <xf numFmtId="0" fontId="3" fillId="0" borderId="0" xfId="0" quotePrefix="1" applyFont="1" applyAlignment="1">
      <alignment horizontal="left" vertical="top"/>
    </xf>
    <xf numFmtId="0" fontId="4" fillId="0" borderId="0" xfId="0" applyFont="1" applyAlignment="1">
      <alignment horizontal="centerContinuous" vertical="top" wrapText="1"/>
    </xf>
    <xf numFmtId="2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0" fillId="0" borderId="0" xfId="0" quotePrefix="1" applyAlignment="1">
      <alignment horizontal="center"/>
    </xf>
    <xf numFmtId="0" fontId="5" fillId="0" borderId="0" xfId="0" quotePrefix="1" applyFont="1" applyAlignment="1">
      <alignment horizontal="left" vertical="top"/>
    </xf>
    <xf numFmtId="0" fontId="0" fillId="0" borderId="0" xfId="0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centerContinuous"/>
    </xf>
    <xf numFmtId="2" fontId="5" fillId="0" borderId="0" xfId="0" applyNumberFormat="1" applyFont="1" applyAlignment="1">
      <alignment horizontal="right"/>
    </xf>
    <xf numFmtId="0" fontId="3" fillId="0" borderId="0" xfId="0" applyFont="1" applyAlignment="1"/>
    <xf numFmtId="2" fontId="3" fillId="0" borderId="0" xfId="0" applyNumberFormat="1" applyFont="1" applyBorder="1" applyAlignment="1">
      <alignment horizontal="right" vertical="top" wrapText="1"/>
    </xf>
    <xf numFmtId="2" fontId="0" fillId="0" borderId="2" xfId="0" applyNumberFormat="1" applyBorder="1"/>
    <xf numFmtId="0" fontId="5" fillId="0" borderId="0" xfId="0" applyFont="1" applyAlignment="1"/>
    <xf numFmtId="0" fontId="3" fillId="0" borderId="0" xfId="0" quotePrefix="1" applyFont="1" applyBorder="1" applyAlignment="1">
      <alignment horizontal="left" vertical="top" wrapText="1"/>
    </xf>
    <xf numFmtId="2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1" fontId="3" fillId="0" borderId="0" xfId="0" applyNumberFormat="1" applyFont="1" applyBorder="1" applyAlignment="1">
      <alignment horizontal="right" vertical="top"/>
    </xf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2" xfId="0" applyBorder="1" applyAlignment="1">
      <alignment horizontal="right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IMATE%20BLOCK%20LIBR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-abstract"/>
      <sheetName val="GF1_ABS"/>
      <sheetName val="GF1_MES"/>
      <sheetName val="FF_ABS"/>
      <sheetName val="FF_MES"/>
    </sheetNames>
    <sheetDataSet>
      <sheetData sheetId="0"/>
      <sheetData sheetId="1"/>
      <sheetData sheetId="2"/>
      <sheetData sheetId="3">
        <row r="30">
          <cell r="G30">
            <v>888113.23096399999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7"/>
  <sheetViews>
    <sheetView topLeftCell="A13" zoomScale="75" workbookViewId="0">
      <selection activeCell="E29" sqref="E29"/>
    </sheetView>
    <sheetView tabSelected="1" workbookViewId="1">
      <selection activeCell="A2" sqref="A2"/>
    </sheetView>
  </sheetViews>
  <sheetFormatPr defaultRowHeight="15" x14ac:dyDescent="0.2"/>
  <cols>
    <col min="1" max="1" width="4.44140625" customWidth="1"/>
    <col min="5" max="5" width="18.109375" customWidth="1"/>
    <col min="6" max="6" width="11.44140625" customWidth="1"/>
    <col min="7" max="7" width="12.5546875" style="2" customWidth="1"/>
  </cols>
  <sheetData>
    <row r="2" spans="1:7" s="6" customFormat="1" ht="36" x14ac:dyDescent="0.2">
      <c r="A2" s="15" t="s">
        <v>12</v>
      </c>
      <c r="B2" s="7"/>
      <c r="C2" s="7"/>
      <c r="D2" s="7"/>
      <c r="E2" s="8"/>
      <c r="F2" s="7"/>
      <c r="G2" s="8"/>
    </row>
    <row r="3" spans="1:7" s="6" customFormat="1" x14ac:dyDescent="0.2">
      <c r="A3" s="11"/>
      <c r="B3" s="7"/>
      <c r="C3" s="7"/>
      <c r="D3" s="7"/>
      <c r="E3" s="8"/>
      <c r="F3" s="7"/>
      <c r="G3" s="8"/>
    </row>
    <row r="4" spans="1:7" ht="15.75" x14ac:dyDescent="0.25">
      <c r="A4" s="9" t="s">
        <v>1</v>
      </c>
      <c r="B4" s="1"/>
      <c r="C4" s="1"/>
      <c r="D4" s="1"/>
      <c r="E4" s="1"/>
      <c r="F4" s="1"/>
      <c r="G4" s="13"/>
    </row>
    <row r="5" spans="1:7" x14ac:dyDescent="0.2">
      <c r="A5" s="1"/>
      <c r="B5" s="1"/>
      <c r="C5" s="1"/>
      <c r="D5" s="1"/>
      <c r="E5" s="1"/>
      <c r="F5" s="1"/>
      <c r="G5" s="13"/>
    </row>
    <row r="6" spans="1:7" s="6" customFormat="1" x14ac:dyDescent="0.2">
      <c r="B6" s="44" t="s">
        <v>8</v>
      </c>
      <c r="C6" s="45"/>
      <c r="D6" s="45"/>
      <c r="E6" s="45"/>
      <c r="F6" s="32" t="s">
        <v>2</v>
      </c>
      <c r="G6" s="33">
        <f>[1]FF_ABS!G30</f>
        <v>888113.23096399999</v>
      </c>
    </row>
    <row r="7" spans="1:7" s="6" customFormat="1" x14ac:dyDescent="0.2">
      <c r="B7" s="37"/>
      <c r="C7" s="10"/>
      <c r="D7" s="10"/>
      <c r="E7" s="10"/>
      <c r="F7" s="32"/>
      <c r="G7" s="33"/>
    </row>
    <row r="8" spans="1:7" s="6" customFormat="1" x14ac:dyDescent="0.2">
      <c r="B8" s="44" t="s">
        <v>14</v>
      </c>
      <c r="C8" s="45"/>
      <c r="D8" s="45"/>
      <c r="E8" s="45"/>
      <c r="F8" s="32" t="s">
        <v>2</v>
      </c>
      <c r="G8" s="33">
        <f>[1]FF_ABS!G31</f>
        <v>0</v>
      </c>
    </row>
    <row r="9" spans="1:7" s="6" customFormat="1" x14ac:dyDescent="0.2">
      <c r="B9" s="40"/>
      <c r="C9" s="41"/>
      <c r="D9" s="41"/>
      <c r="E9" s="41"/>
      <c r="F9" s="32"/>
      <c r="G9" s="33"/>
    </row>
    <row r="10" spans="1:7" s="6" customFormat="1" x14ac:dyDescent="0.2">
      <c r="B10" s="38" t="s">
        <v>9</v>
      </c>
      <c r="C10" s="17"/>
      <c r="D10" s="17"/>
      <c r="E10" s="30"/>
      <c r="F10" s="34" t="s">
        <v>2</v>
      </c>
      <c r="G10" s="27">
        <f>G6*0.12</f>
        <v>106573.58771568</v>
      </c>
    </row>
    <row r="11" spans="1:7" s="6" customFormat="1" x14ac:dyDescent="0.2">
      <c r="B11" s="14"/>
      <c r="C11" s="17"/>
      <c r="D11" s="17"/>
      <c r="E11" s="23"/>
      <c r="F11" s="34"/>
      <c r="G11" s="27"/>
    </row>
    <row r="12" spans="1:7" x14ac:dyDescent="0.2">
      <c r="F12" s="35" t="s">
        <v>3</v>
      </c>
      <c r="G12" s="36">
        <f>SUM(G6:G10)</f>
        <v>994686.81867968</v>
      </c>
    </row>
    <row r="14" spans="1:7" x14ac:dyDescent="0.2">
      <c r="B14" s="39" t="s">
        <v>11</v>
      </c>
      <c r="E14" s="5"/>
      <c r="G14">
        <f>G6*0.02</f>
        <v>17762.264619279998</v>
      </c>
    </row>
    <row r="15" spans="1:7" x14ac:dyDescent="0.2">
      <c r="B15" s="39" t="s">
        <v>13</v>
      </c>
      <c r="E15" s="5"/>
      <c r="G15"/>
    </row>
    <row r="16" spans="1:7" x14ac:dyDescent="0.2">
      <c r="C16" s="21" t="s">
        <v>4</v>
      </c>
      <c r="D16" s="13">
        <f>G6</f>
        <v>888113.23096399999</v>
      </c>
      <c r="E16" s="24"/>
      <c r="F16" s="22" t="s">
        <v>2</v>
      </c>
      <c r="G16" s="4">
        <f>ROUNDUP(D16*0.02,0)</f>
        <v>17763</v>
      </c>
    </row>
    <row r="17" spans="1:8" x14ac:dyDescent="0.2">
      <c r="C17" s="21"/>
      <c r="D17" s="13"/>
      <c r="E17" s="42" t="s">
        <v>6</v>
      </c>
      <c r="F17" s="42"/>
      <c r="G17" s="28">
        <f>SUM(G12:G16)</f>
        <v>1030212.08329896</v>
      </c>
    </row>
    <row r="19" spans="1:8" ht="15.75" x14ac:dyDescent="0.25">
      <c r="F19" s="21" t="s">
        <v>5</v>
      </c>
      <c r="G19" s="31">
        <f>ROUND(G17/100000,2)</f>
        <v>10.3</v>
      </c>
    </row>
    <row r="20" spans="1:8" ht="15.75" x14ac:dyDescent="0.25">
      <c r="D20" s="3"/>
      <c r="E20" s="12"/>
      <c r="F20" s="19"/>
      <c r="G20" s="25" t="s">
        <v>7</v>
      </c>
    </row>
    <row r="21" spans="1:8" ht="15.75" x14ac:dyDescent="0.25">
      <c r="G21" s="16"/>
    </row>
    <row r="22" spans="1:8" ht="15.75" x14ac:dyDescent="0.25">
      <c r="G22" s="16"/>
    </row>
    <row r="23" spans="1:8" s="29" customFormat="1" ht="15.75" x14ac:dyDescent="0.25">
      <c r="A23" s="18"/>
      <c r="B23"/>
      <c r="C23"/>
      <c r="D23" s="3"/>
      <c r="E23" s="43" t="s">
        <v>0</v>
      </c>
      <c r="F23" s="43"/>
      <c r="G23" s="43"/>
      <c r="H23" s="26"/>
    </row>
    <row r="24" spans="1:8" s="29" customFormat="1" ht="15.75" x14ac:dyDescent="0.25">
      <c r="A24" s="18"/>
      <c r="B24"/>
      <c r="C24"/>
      <c r="D24"/>
      <c r="E24" s="43" t="s">
        <v>10</v>
      </c>
      <c r="F24" s="43"/>
      <c r="G24" s="43"/>
      <c r="H24" s="26"/>
    </row>
    <row r="26" spans="1:8" ht="15.75" x14ac:dyDescent="0.2">
      <c r="E26" s="20"/>
    </row>
    <row r="27" spans="1:8" ht="15.75" x14ac:dyDescent="0.2">
      <c r="E27" s="18"/>
    </row>
  </sheetData>
  <mergeCells count="5">
    <mergeCell ref="E17:F17"/>
    <mergeCell ref="E23:G23"/>
    <mergeCell ref="E24:G24"/>
    <mergeCell ref="B6:E6"/>
    <mergeCell ref="B8:E8"/>
  </mergeCells>
  <phoneticPr fontId="0" type="noConversion"/>
  <printOptions horizontalCentered="1"/>
  <pageMargins left="0.75" right="0.75" top="1" bottom="1" header="0.5" footer="0.5"/>
  <pageSetup paperSize="9" scale="98" fitToHeight="11" orientation="portrait" horizontalDpi="180" verticalDpi="180" r:id="rId1"/>
  <headerFooter alignWithMargins="0">
    <oddFooter>&amp;C&amp;A&amp;RPage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0:N12"/>
  <sheetViews>
    <sheetView tabSelected="1" workbookViewId="0"/>
    <sheetView workbookViewId="1"/>
  </sheetViews>
  <sheetFormatPr defaultRowHeight="15" x14ac:dyDescent="0.2"/>
  <sheetData>
    <row r="10" spans="10:14" x14ac:dyDescent="0.2">
      <c r="J10">
        <v>8</v>
      </c>
      <c r="K10">
        <v>0.3</v>
      </c>
      <c r="M10">
        <f>9*0.15</f>
        <v>1.3499999999999999</v>
      </c>
    </row>
    <row r="12" spans="10:14" x14ac:dyDescent="0.2">
      <c r="K12">
        <f>2.4^2</f>
        <v>5.76</v>
      </c>
      <c r="L12">
        <f>1.35^2</f>
        <v>1.8225000000000002</v>
      </c>
      <c r="M12">
        <f>K12+L12</f>
        <v>7.5824999999999996</v>
      </c>
      <c r="N12">
        <f>M12^0.5</f>
        <v>2.7536339626028727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gen-abstract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cp:lastPrinted>2025-10-26T04:16:09Z</cp:lastPrinted>
  <dcterms:created xsi:type="dcterms:W3CDTF">1999-05-10T10:55:35Z</dcterms:created>
  <dcterms:modified xsi:type="dcterms:W3CDTF">2025-10-26T19:56:32Z</dcterms:modified>
</cp:coreProperties>
</file>