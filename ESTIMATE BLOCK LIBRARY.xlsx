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jkumar\Documents\MAHIPAL KATARA\"/>
    </mc:Choice>
  </mc:AlternateContent>
  <bookViews>
    <workbookView visibility="hidden" xWindow="-15" yWindow="1680" windowWidth="9570" windowHeight="3105" tabRatio="880" firstSheet="2" activeTab="2"/>
    <workbookView visibility="hidden" xWindow="0" yWindow="210" windowWidth="9720" windowHeight="6345" tabRatio="922"/>
  </bookViews>
  <sheets>
    <sheet name="gen-abstract" sheetId="21" r:id="rId1"/>
    <sheet name="GF1_ABS" sheetId="5" r:id="rId2"/>
    <sheet name="GF1_MES" sheetId="6" r:id="rId3"/>
    <sheet name="FF_ABS" sheetId="24" r:id="rId4"/>
    <sheet name="FF_MES" sheetId="25" r:id="rId5"/>
  </sheets>
  <externalReferences>
    <externalReference r:id="rId6"/>
  </externalReferences>
  <definedNames>
    <definedName name="_xlnm.Print_Titles" localSheetId="3">FF_ABS!$5:$5</definedName>
    <definedName name="_xlnm.Print_Titles" localSheetId="4">FF_MES!$5:$5</definedName>
    <definedName name="_xlnm.Print_Titles" localSheetId="1">GF1_ABS!$5:$5</definedName>
    <definedName name="_xlnm.Print_Titles" localSheetId="2">GF1_MES!$5:$5</definedName>
  </definedNames>
  <calcPr calcId="152511"/>
</workbook>
</file>

<file path=xl/calcChain.xml><?xml version="1.0" encoding="utf-8"?>
<calcChain xmlns="http://schemas.openxmlformats.org/spreadsheetml/2006/main">
  <c r="G12" i="21" l="1"/>
  <c r="G10" i="21"/>
  <c r="E123" i="25"/>
  <c r="K100" i="25"/>
  <c r="K99" i="25"/>
  <c r="K86" i="25"/>
  <c r="B176" i="25"/>
  <c r="E177" i="25"/>
  <c r="K177" i="25" s="1"/>
  <c r="E185" i="25"/>
  <c r="K185" i="25" s="1"/>
  <c r="E184" i="25"/>
  <c r="E181" i="25" s="1"/>
  <c r="A1" i="25"/>
  <c r="K9" i="25"/>
  <c r="K10" i="25"/>
  <c r="K17" i="25"/>
  <c r="K18" i="25"/>
  <c r="K19" i="25"/>
  <c r="K20" i="25"/>
  <c r="K24" i="25"/>
  <c r="A28" i="25"/>
  <c r="A34" i="25" s="1"/>
  <c r="A39" i="25" s="1"/>
  <c r="E30" i="25"/>
  <c r="G30" i="25"/>
  <c r="G35" i="25"/>
  <c r="G36" i="25"/>
  <c r="C37" i="25"/>
  <c r="E37" i="25"/>
  <c r="G37" i="25"/>
  <c r="K40" i="25"/>
  <c r="K41" i="25"/>
  <c r="E42" i="25"/>
  <c r="G42" i="25"/>
  <c r="E45" i="25"/>
  <c r="G45" i="25"/>
  <c r="K46" i="25"/>
  <c r="K50" i="25"/>
  <c r="K51" i="25"/>
  <c r="K52" i="25"/>
  <c r="K53" i="25"/>
  <c r="K54" i="25"/>
  <c r="K55" i="25"/>
  <c r="K59" i="25"/>
  <c r="K60" i="25" s="1"/>
  <c r="C80" i="25" s="1"/>
  <c r="K80" i="25" s="1"/>
  <c r="C64" i="25"/>
  <c r="K65" i="25"/>
  <c r="K66" i="25"/>
  <c r="K67" i="25"/>
  <c r="E68" i="25"/>
  <c r="K68" i="25"/>
  <c r="E116" i="25" s="1"/>
  <c r="K116" i="25" s="1"/>
  <c r="E69" i="25"/>
  <c r="G69" i="25"/>
  <c r="K70" i="25"/>
  <c r="K71" i="25"/>
  <c r="K72" i="25"/>
  <c r="K73" i="25"/>
  <c r="C77" i="25"/>
  <c r="E77" i="25"/>
  <c r="K89" i="25"/>
  <c r="K90" i="25"/>
  <c r="E97" i="25"/>
  <c r="E107" i="25" s="1"/>
  <c r="E98" i="25"/>
  <c r="K98" i="25"/>
  <c r="K102" i="25"/>
  <c r="K103" i="25"/>
  <c r="K104" i="25"/>
  <c r="G105" i="25" s="1"/>
  <c r="E108" i="25"/>
  <c r="G115" i="25" s="1"/>
  <c r="G140" i="25" s="1"/>
  <c r="K119" i="25"/>
  <c r="C126" i="25"/>
  <c r="C147" i="25" s="1"/>
  <c r="K147" i="25" s="1"/>
  <c r="K148" i="25" s="1"/>
  <c r="C170" i="25" s="1"/>
  <c r="K170" i="25" s="1"/>
  <c r="K126" i="25"/>
  <c r="K127" i="25" s="1"/>
  <c r="E128" i="25" s="1"/>
  <c r="K128" i="25" s="1"/>
  <c r="C17" i="24" s="1"/>
  <c r="G17" i="24" s="1"/>
  <c r="A129" i="25"/>
  <c r="A133" i="25" s="1"/>
  <c r="A137" i="25" s="1"/>
  <c r="C134" i="25"/>
  <c r="K134" i="25" s="1"/>
  <c r="K135" i="25" s="1"/>
  <c r="C20" i="24" s="1"/>
  <c r="G20" i="24" s="1"/>
  <c r="E130" i="25"/>
  <c r="K130" i="25" s="1"/>
  <c r="K131" i="25" s="1"/>
  <c r="E140" i="25"/>
  <c r="B143" i="25"/>
  <c r="E144" i="25"/>
  <c r="G144" i="25"/>
  <c r="E147" i="25"/>
  <c r="G149" i="25"/>
  <c r="K151" i="25"/>
  <c r="K152" i="25"/>
  <c r="E153" i="25" s="1"/>
  <c r="K153" i="25" s="1"/>
  <c r="G155" i="25"/>
  <c r="K155" i="25" s="1"/>
  <c r="K156" i="25" s="1"/>
  <c r="E158" i="25"/>
  <c r="K158" i="25" s="1"/>
  <c r="K159" i="25"/>
  <c r="A165" i="25"/>
  <c r="A169" i="25" s="1"/>
  <c r="A174" i="25" s="1"/>
  <c r="B190" i="25"/>
  <c r="A1" i="24"/>
  <c r="K140" i="25" l="1"/>
  <c r="K141" i="25" s="1"/>
  <c r="C21" i="24" s="1"/>
  <c r="G21" i="24" s="1"/>
  <c r="K30" i="25"/>
  <c r="E32" i="25" s="1"/>
  <c r="K32" i="25" s="1"/>
  <c r="K33" i="25" s="1"/>
  <c r="K184" i="25"/>
  <c r="K186" i="25" s="1"/>
  <c r="C29" i="24" s="1"/>
  <c r="G29" i="24" s="1"/>
  <c r="K69" i="25"/>
  <c r="K144" i="25"/>
  <c r="K145" i="25" s="1"/>
  <c r="K11" i="25"/>
  <c r="K160" i="25"/>
  <c r="K178" i="25"/>
  <c r="C27" i="24" s="1"/>
  <c r="G27" i="24" s="1"/>
  <c r="K37" i="25"/>
  <c r="K21" i="25"/>
  <c r="E26" i="25" s="1"/>
  <c r="K77" i="25"/>
  <c r="K78" i="25" s="1"/>
  <c r="C10" i="24" s="1"/>
  <c r="G10" i="24" s="1"/>
  <c r="K42" i="25"/>
  <c r="K43" i="25" s="1"/>
  <c r="K45" i="25"/>
  <c r="K47" i="25" s="1"/>
  <c r="K56" i="25"/>
  <c r="C81" i="25" s="1"/>
  <c r="K81" i="25" s="1"/>
  <c r="G181" i="25"/>
  <c r="K181" i="25" s="1"/>
  <c r="A44" i="25"/>
  <c r="A58" i="25" s="1"/>
  <c r="C6" i="24"/>
  <c r="G6" i="24" s="1"/>
  <c r="C138" i="25"/>
  <c r="K138" i="25" s="1"/>
  <c r="C18" i="24"/>
  <c r="G18" i="24" s="1"/>
  <c r="C171" i="25"/>
  <c r="K171" i="25" s="1"/>
  <c r="K172" i="25" s="1"/>
  <c r="E115" i="25"/>
  <c r="K115" i="25" s="1"/>
  <c r="K117" i="25" s="1"/>
  <c r="C14" i="24" s="1"/>
  <c r="G14" i="24" s="1"/>
  <c r="K107" i="25"/>
  <c r="E85" i="25"/>
  <c r="E14" i="25"/>
  <c r="K14" i="25" s="1"/>
  <c r="K15" i="25" s="1"/>
  <c r="E25" i="25"/>
  <c r="E63" i="25"/>
  <c r="E120" i="25"/>
  <c r="K120" i="25" s="1"/>
  <c r="K121" i="25" s="1"/>
  <c r="C15" i="24" s="1"/>
  <c r="G15" i="24" s="1"/>
  <c r="K97" i="25"/>
  <c r="K108" i="25"/>
  <c r="C7" i="24"/>
  <c r="G7" i="24" s="1"/>
  <c r="E163" i="6"/>
  <c r="K163" i="6" s="1"/>
  <c r="K165" i="6" s="1"/>
  <c r="C32" i="5" s="1"/>
  <c r="G32" i="5" s="1"/>
  <c r="C79" i="6"/>
  <c r="K41" i="6"/>
  <c r="K164" i="6"/>
  <c r="C28" i="5"/>
  <c r="G28" i="5" s="1"/>
  <c r="K160" i="6"/>
  <c r="K161" i="6" s="1"/>
  <c r="G160" i="6"/>
  <c r="K156" i="6"/>
  <c r="K157" i="6" s="1"/>
  <c r="E158" i="6" s="1"/>
  <c r="K158" i="6" s="1"/>
  <c r="C27" i="5" s="1"/>
  <c r="G27" i="5" s="1"/>
  <c r="E128" i="6"/>
  <c r="K124" i="6"/>
  <c r="B93" i="6"/>
  <c r="K58" i="6"/>
  <c r="E76" i="6"/>
  <c r="K51" i="6"/>
  <c r="K46" i="6"/>
  <c r="K40" i="6"/>
  <c r="K52" i="6"/>
  <c r="K50" i="6"/>
  <c r="K55" i="6"/>
  <c r="K54" i="6"/>
  <c r="K53" i="6"/>
  <c r="K72" i="6"/>
  <c r="K71" i="6"/>
  <c r="G37" i="6"/>
  <c r="G42" i="6" s="1"/>
  <c r="E37" i="6"/>
  <c r="E42" i="6" s="1"/>
  <c r="C37" i="6"/>
  <c r="D105" i="25" l="1"/>
  <c r="K105" i="25" s="1"/>
  <c r="A7" i="24"/>
  <c r="K82" i="25"/>
  <c r="C11" i="24" s="1"/>
  <c r="G11" i="24" s="1"/>
  <c r="K182" i="25"/>
  <c r="C28" i="24"/>
  <c r="G28" i="24" s="1"/>
  <c r="C19" i="24"/>
  <c r="G19" i="24" s="1"/>
  <c r="A79" i="25"/>
  <c r="E64" i="25"/>
  <c r="K64" i="25" s="1"/>
  <c r="K63" i="25"/>
  <c r="K74" i="25" s="1"/>
  <c r="C9" i="24" s="1"/>
  <c r="G9" i="24" s="1"/>
  <c r="E35" i="25"/>
  <c r="K35" i="25" s="1"/>
  <c r="K25" i="25"/>
  <c r="K109" i="25"/>
  <c r="K26" i="25"/>
  <c r="E36" i="25"/>
  <c r="K36" i="25" s="1"/>
  <c r="E91" i="25"/>
  <c r="K91" i="25" s="1"/>
  <c r="K92" i="25" s="1"/>
  <c r="G93" i="25" s="1"/>
  <c r="K85" i="25"/>
  <c r="A61" i="25"/>
  <c r="C24" i="24"/>
  <c r="G24" i="24" s="1"/>
  <c r="K175" i="25"/>
  <c r="C25" i="24" s="1"/>
  <c r="G25" i="24" s="1"/>
  <c r="K59" i="6"/>
  <c r="K56" i="6"/>
  <c r="K70" i="6"/>
  <c r="K69" i="6"/>
  <c r="G68" i="6"/>
  <c r="E68" i="6"/>
  <c r="E67" i="6"/>
  <c r="K67" i="6" s="1"/>
  <c r="E121" i="6" s="1"/>
  <c r="K121" i="6" s="1"/>
  <c r="K66" i="6"/>
  <c r="C63" i="6"/>
  <c r="G45" i="6"/>
  <c r="A28" i="6"/>
  <c r="A34" i="6" s="1"/>
  <c r="G36" i="6"/>
  <c r="G35" i="6"/>
  <c r="G30" i="6"/>
  <c r="E30" i="6"/>
  <c r="K24" i="6"/>
  <c r="K20" i="6"/>
  <c r="K19" i="6"/>
  <c r="K87" i="25" l="1"/>
  <c r="E93" i="25" s="1"/>
  <c r="K93" i="25" s="1"/>
  <c r="C12" i="24" s="1"/>
  <c r="G12" i="24" s="1"/>
  <c r="A8" i="24"/>
  <c r="A11" i="24" s="1"/>
  <c r="A12" i="24" s="1"/>
  <c r="A114" i="25"/>
  <c r="E112" i="25"/>
  <c r="K162" i="25"/>
  <c r="K163" i="25" s="1"/>
  <c r="C22" i="24" s="1"/>
  <c r="G22" i="24" s="1"/>
  <c r="K123" i="25"/>
  <c r="K124" i="25" s="1"/>
  <c r="C16" i="24" s="1"/>
  <c r="G16" i="24" s="1"/>
  <c r="D110" i="25"/>
  <c r="K110" i="25" s="1"/>
  <c r="G112" i="25" s="1"/>
  <c r="K166" i="25"/>
  <c r="K167" i="25" s="1"/>
  <c r="C23" i="24" s="1"/>
  <c r="G23" i="24" s="1"/>
  <c r="E166" i="25"/>
  <c r="K27" i="25"/>
  <c r="K38" i="25"/>
  <c r="C12" i="5"/>
  <c r="G12" i="5" s="1"/>
  <c r="C80" i="6"/>
  <c r="C11" i="5"/>
  <c r="G11" i="5" s="1"/>
  <c r="C81" i="6"/>
  <c r="K68" i="6"/>
  <c r="K65" i="6"/>
  <c r="K64" i="6"/>
  <c r="C76" i="6"/>
  <c r="K17" i="6"/>
  <c r="K80" i="6"/>
  <c r="A7" i="5"/>
  <c r="A118" i="25" l="1"/>
  <c r="A150" i="25" s="1"/>
  <c r="K112" i="25"/>
  <c r="C13" i="24" s="1"/>
  <c r="G13" i="24" s="1"/>
  <c r="E45" i="6"/>
  <c r="A8" i="5"/>
  <c r="A154" i="25" l="1"/>
  <c r="A157" i="25" s="1"/>
  <c r="A176" i="25" s="1"/>
  <c r="A13" i="24"/>
  <c r="A14" i="24" s="1"/>
  <c r="G30" i="24"/>
  <c r="G8" i="21" s="1"/>
  <c r="A122" i="25"/>
  <c r="A39" i="6"/>
  <c r="A9" i="5"/>
  <c r="B184" i="6"/>
  <c r="E103" i="6"/>
  <c r="E102" i="6"/>
  <c r="G149" i="6"/>
  <c r="E149" i="6"/>
  <c r="K149" i="6" s="1"/>
  <c r="B148" i="6"/>
  <c r="E9" i="5"/>
  <c r="A180" i="25" l="1"/>
  <c r="A183" i="25" s="1"/>
  <c r="A15" i="24"/>
  <c r="A44" i="6"/>
  <c r="A78" i="6" s="1"/>
  <c r="A10" i="5"/>
  <c r="K150" i="6"/>
  <c r="C31" i="5" s="1"/>
  <c r="A16" i="24" l="1"/>
  <c r="A49" i="6"/>
  <c r="A93" i="6" s="1"/>
  <c r="A60" i="6"/>
  <c r="A11" i="5"/>
  <c r="A12" i="5" s="1"/>
  <c r="A13" i="5" s="1"/>
  <c r="E152" i="6"/>
  <c r="E145" i="6"/>
  <c r="E113" i="6"/>
  <c r="E112" i="6"/>
  <c r="K108" i="6"/>
  <c r="K107" i="6"/>
  <c r="K103" i="6"/>
  <c r="K45" i="6"/>
  <c r="K47" i="6" s="1"/>
  <c r="G31" i="5"/>
  <c r="A1" i="5"/>
  <c r="A1" i="6"/>
  <c r="K9" i="6"/>
  <c r="K10" i="6"/>
  <c r="K18" i="6"/>
  <c r="K88" i="6"/>
  <c r="K89" i="6"/>
  <c r="C131" i="6"/>
  <c r="K131" i="6" s="1"/>
  <c r="A134" i="6"/>
  <c r="A138" i="6" s="1"/>
  <c r="A142" i="6" s="1"/>
  <c r="C135" i="6"/>
  <c r="C139" i="6" s="1"/>
  <c r="K139" i="6" s="1"/>
  <c r="E135" i="6"/>
  <c r="A170" i="6"/>
  <c r="A174" i="6" s="1"/>
  <c r="A179" i="6" s="1"/>
  <c r="G154" i="6"/>
  <c r="A17" i="24" l="1"/>
  <c r="K112" i="6"/>
  <c r="E120" i="6"/>
  <c r="K113" i="6"/>
  <c r="G120" i="6"/>
  <c r="G145" i="6" s="1"/>
  <c r="A119" i="6"/>
  <c r="A155" i="6" s="1"/>
  <c r="K21" i="6"/>
  <c r="A16" i="5"/>
  <c r="K145" i="6"/>
  <c r="K146" i="6" s="1"/>
  <c r="C30" i="5" s="1"/>
  <c r="G30" i="5" s="1"/>
  <c r="C152" i="6"/>
  <c r="K152" i="6" s="1"/>
  <c r="K153" i="6" s="1"/>
  <c r="C175" i="6" s="1"/>
  <c r="K175" i="6" s="1"/>
  <c r="K140" i="6"/>
  <c r="K132" i="6"/>
  <c r="E133" i="6" s="1"/>
  <c r="K133" i="6" s="1"/>
  <c r="K30" i="6"/>
  <c r="E32" i="6" s="1"/>
  <c r="K135" i="6"/>
  <c r="K11" i="6"/>
  <c r="E125" i="6" s="1"/>
  <c r="K125" i="6" s="1"/>
  <c r="K126" i="6" s="1"/>
  <c r="C22" i="5" s="1"/>
  <c r="G22" i="5" s="1"/>
  <c r="A18" i="24" l="1"/>
  <c r="A19" i="24" s="1"/>
  <c r="K114" i="6"/>
  <c r="D115" i="6" s="1"/>
  <c r="A123" i="6"/>
  <c r="K120" i="6"/>
  <c r="K122" i="6" s="1"/>
  <c r="C21" i="5" s="1"/>
  <c r="G21" i="5" s="1"/>
  <c r="E26" i="6"/>
  <c r="K26" i="6" s="1"/>
  <c r="E94" i="6"/>
  <c r="K94" i="6" s="1"/>
  <c r="K95" i="6" s="1"/>
  <c r="E25" i="6"/>
  <c r="K25" i="6" s="1"/>
  <c r="E62" i="6"/>
  <c r="E85" i="6"/>
  <c r="E97" i="6" s="1"/>
  <c r="K97" i="6" s="1"/>
  <c r="K98" i="6" s="1"/>
  <c r="E14" i="6"/>
  <c r="K14" i="6" s="1"/>
  <c r="K15" i="6" s="1"/>
  <c r="C29" i="5"/>
  <c r="G29" i="5" s="1"/>
  <c r="C24" i="5"/>
  <c r="G24" i="5" s="1"/>
  <c r="K37" i="6"/>
  <c r="K42" i="6"/>
  <c r="K136" i="6"/>
  <c r="E171" i="6"/>
  <c r="K171" i="6"/>
  <c r="K172" i="6" s="1"/>
  <c r="C34" i="5" s="1"/>
  <c r="G34" i="5" s="1"/>
  <c r="K102" i="6"/>
  <c r="K43" i="6" l="1"/>
  <c r="A127" i="6"/>
  <c r="A159" i="6"/>
  <c r="A162" i="6" s="1"/>
  <c r="C18" i="5"/>
  <c r="G18" i="5" s="1"/>
  <c r="E104" i="6"/>
  <c r="K104" i="6" s="1"/>
  <c r="K105" i="6"/>
  <c r="D110" i="6" s="1"/>
  <c r="E36" i="6"/>
  <c r="K36" i="6" s="1"/>
  <c r="E35" i="6"/>
  <c r="K35" i="6" s="1"/>
  <c r="K62" i="6"/>
  <c r="E63" i="6"/>
  <c r="K63" i="6" s="1"/>
  <c r="K27" i="6"/>
  <c r="C6" i="5" s="1"/>
  <c r="G6" i="5" s="1"/>
  <c r="C19" i="5"/>
  <c r="G19" i="5" s="1"/>
  <c r="K85" i="6"/>
  <c r="K86" i="6" s="1"/>
  <c r="E92" i="6" s="1"/>
  <c r="E90" i="6"/>
  <c r="K90" i="6" s="1"/>
  <c r="K91" i="6" s="1"/>
  <c r="G92" i="6" s="1"/>
  <c r="C176" i="6"/>
  <c r="K176" i="6" s="1"/>
  <c r="K177" i="6" s="1"/>
  <c r="K180" i="6" s="1"/>
  <c r="C36" i="5" s="1"/>
  <c r="G36" i="5" s="1"/>
  <c r="C25" i="5"/>
  <c r="G25" i="5" s="1"/>
  <c r="K115" i="6"/>
  <c r="G117" i="6" s="1"/>
  <c r="K79" i="6"/>
  <c r="C143" i="6"/>
  <c r="K143" i="6" s="1"/>
  <c r="K32" i="6"/>
  <c r="K33" i="6" s="1"/>
  <c r="C7" i="5" s="1"/>
  <c r="G7" i="5" s="1"/>
  <c r="K92" i="6" l="1"/>
  <c r="C17" i="5" s="1"/>
  <c r="G17" i="5" s="1"/>
  <c r="K38" i="6"/>
  <c r="C8" i="5" s="1"/>
  <c r="G8" i="5" s="1"/>
  <c r="K73" i="6"/>
  <c r="C14" i="5" s="1"/>
  <c r="G14" i="5" s="1"/>
  <c r="K81" i="6"/>
  <c r="K82" i="6" s="1"/>
  <c r="C16" i="5" s="1"/>
  <c r="G16" i="5" s="1"/>
  <c r="C9" i="5"/>
  <c r="G9" i="5" s="1"/>
  <c r="C10" i="5"/>
  <c r="G10" i="5" s="1"/>
  <c r="K76" i="6"/>
  <c r="K77" i="6" s="1"/>
  <c r="C15" i="5" s="1"/>
  <c r="G15" i="5" s="1"/>
  <c r="C35" i="5"/>
  <c r="G35" i="5" s="1"/>
  <c r="C26" i="5"/>
  <c r="G26" i="5" s="1"/>
  <c r="K109" i="6"/>
  <c r="G110" i="6" s="1"/>
  <c r="K110" i="6" s="1"/>
  <c r="K128" i="6" s="1"/>
  <c r="K129" i="6" s="1"/>
  <c r="C23" i="5" s="1"/>
  <c r="G23" i="5" s="1"/>
  <c r="A20" i="24" l="1"/>
  <c r="E117" i="6"/>
  <c r="K117" i="6" s="1"/>
  <c r="C20" i="5" s="1"/>
  <c r="G20" i="5" s="1"/>
  <c r="K167" i="6"/>
  <c r="K168" i="6" s="1"/>
  <c r="C33" i="5" s="1"/>
  <c r="G33" i="5" s="1"/>
  <c r="A21" i="24" l="1"/>
  <c r="A22" i="24" s="1"/>
  <c r="A23" i="24" s="1"/>
  <c r="A24" i="24" s="1"/>
  <c r="A25" i="24" s="1"/>
  <c r="A26" i="24" s="1"/>
  <c r="G37" i="5"/>
  <c r="G6" i="21" s="1"/>
  <c r="A17" i="5" l="1"/>
  <c r="A28" i="24" l="1"/>
  <c r="A29" i="24" s="1"/>
  <c r="A18" i="5"/>
  <c r="A19" i="5" l="1"/>
  <c r="A20" i="5" l="1"/>
  <c r="A21" i="5" l="1"/>
  <c r="A22" i="5" l="1"/>
  <c r="A23" i="5" s="1"/>
  <c r="A24" i="5" l="1"/>
  <c r="A25" i="5" l="1"/>
  <c r="A26" i="5" s="1"/>
  <c r="A27" i="5" l="1"/>
  <c r="A28" i="5" s="1"/>
  <c r="A29" i="5" l="1"/>
  <c r="A30" i="5" s="1"/>
  <c r="A31" i="5" l="1"/>
  <c r="A33" i="5" s="1"/>
  <c r="A32" i="5" l="1"/>
  <c r="A34" i="5" l="1"/>
  <c r="A35" i="5" l="1"/>
  <c r="A36" i="5" l="1"/>
  <c r="G18" i="21" l="1"/>
  <c r="G14" i="21"/>
  <c r="G16" i="21"/>
  <c r="G23" i="21" l="1"/>
  <c r="G25" i="21" s="1"/>
</calcChain>
</file>

<file path=xl/sharedStrings.xml><?xml version="1.0" encoding="utf-8"?>
<sst xmlns="http://schemas.openxmlformats.org/spreadsheetml/2006/main" count="1264" uniqueCount="167">
  <si>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</si>
  <si>
    <t>CHARTERED   ENGINEER,</t>
  </si>
  <si>
    <t>PARAPET WALL 230 MM</t>
  </si>
  <si>
    <t>Brick work in superstructure upto 4.5 metre height  above plinth level Cement Mortar 1:6 with bricks are class designation 75.</t>
  </si>
  <si>
    <t>@ 4.15 Kg/m</t>
  </si>
  <si>
    <t>Columns C1</t>
  </si>
  <si>
    <t>Columns</t>
  </si>
  <si>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</si>
  <si>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White washing with lime to give an even shade including all scaffolding: New work (two or more coats).</t>
  </si>
  <si>
    <t>GENERAL ABSTRACT OF COST</t>
  </si>
  <si>
    <t>Rs.</t>
  </si>
  <si>
    <t>TOTAL Rs.</t>
  </si>
  <si>
    <t>SAY Rs.</t>
  </si>
  <si>
    <t>ABSTRACT OF COST</t>
  </si>
  <si>
    <t>S.No.</t>
  </si>
  <si>
    <t>Particulars.</t>
  </si>
  <si>
    <t xml:space="preserve">Quantity </t>
  </si>
  <si>
    <t>Rate</t>
  </si>
  <si>
    <t>Unit</t>
  </si>
  <si>
    <t>Amount</t>
  </si>
  <si>
    <t>Cum</t>
  </si>
  <si>
    <t>P Cum</t>
  </si>
  <si>
    <t>Sqm</t>
  </si>
  <si>
    <t>P Sqm</t>
  </si>
  <si>
    <t>Kg</t>
  </si>
  <si>
    <t>P Kg</t>
  </si>
  <si>
    <t>Providing and fixing square bars or other flat welded to window, ventilators etc.</t>
  </si>
  <si>
    <t>Supplying and fixing wire gauge of 14 mesh x 24 gauge to the metal frame of rolled section by metal beading 20 x 3 mm with suitable screw at not exceeding 150 mm distance.</t>
  </si>
  <si>
    <t/>
  </si>
  <si>
    <t>RM</t>
  </si>
  <si>
    <t>Painting with enamel paint of approved brand and manufacture to give an even shade two or more coats on new work.</t>
  </si>
  <si>
    <t xml:space="preserve">Total </t>
  </si>
  <si>
    <t>DETAILS OF MEASUREMENTS</t>
  </si>
  <si>
    <t>S.N.</t>
  </si>
  <si>
    <t>Particulars</t>
  </si>
  <si>
    <t>Nos.</t>
  </si>
  <si>
    <t>Length</t>
  </si>
  <si>
    <t xml:space="preserve">Breadth </t>
  </si>
  <si>
    <t>Height</t>
  </si>
  <si>
    <t>Qty.</t>
  </si>
  <si>
    <t>Units</t>
  </si>
  <si>
    <t>x</t>
  </si>
  <si>
    <t>=</t>
  </si>
  <si>
    <t>Total</t>
  </si>
  <si>
    <t>-</t>
  </si>
  <si>
    <t>Gross Qty.</t>
  </si>
  <si>
    <t>+</t>
  </si>
  <si>
    <t>Deductions</t>
  </si>
  <si>
    <t xml:space="preserve">Lintels </t>
  </si>
  <si>
    <t>Total Deductions</t>
  </si>
  <si>
    <t>External plaster</t>
  </si>
  <si>
    <t>Total qty. of  Plaster</t>
  </si>
  <si>
    <t>Cum @</t>
  </si>
  <si>
    <t>Kg/Cum</t>
  </si>
  <si>
    <t>x(</t>
  </si>
  <si>
    <t>)=</t>
  </si>
  <si>
    <t>@ 1.13 Kg/m</t>
  </si>
  <si>
    <t>Qty. of Internal Plaster</t>
  </si>
  <si>
    <t>Qty. of External Plaster</t>
  </si>
  <si>
    <t>@</t>
  </si>
  <si>
    <t>Double Leaf door shutters</t>
  </si>
  <si>
    <t>Windows</t>
  </si>
  <si>
    <t xml:space="preserve">Qty. of priming </t>
  </si>
  <si>
    <t>GRAND TOTAL Rs.</t>
  </si>
  <si>
    <t>TOTAL</t>
  </si>
  <si>
    <t>Applying priming coat with ready mix pink or Grey primer of approved brand and manufacture on wood work hard and soft wood.</t>
  </si>
  <si>
    <t>Center to center distances</t>
  </si>
  <si>
    <t>Plaster on new surface on walls in cement sand mortar 1:6 including raking of joints etc. complete fine finished : 20 mm thick.</t>
  </si>
  <si>
    <t>Colour  washing of all shades to give an even shade including all scaffolding: New work (two or more coats) with a base coat of white washing with lime.</t>
  </si>
  <si>
    <t>D1</t>
  </si>
  <si>
    <t>W1</t>
  </si>
  <si>
    <t>GROUND FLOOR  INSIDE PLASTER</t>
  </si>
  <si>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</si>
  <si>
    <t>Main Walls</t>
  </si>
  <si>
    <t>Net qty. of External Plaster in FF</t>
  </si>
  <si>
    <t>= +</t>
  </si>
  <si>
    <t>Gross qty. of External Plaster (+)</t>
  </si>
  <si>
    <t>Qty.  10% of total windows area</t>
  </si>
  <si>
    <t>Lacs.</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</si>
  <si>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</si>
  <si>
    <t>Filling available excavated earth (excluding rock) in trenches, plinth side of foundation etc. in layers not exceeding 20 cm. in depth , consolidating  each deposited layer by ramming and watering including lead upto 50Mtr. and lift upto 1.5Mtr.</t>
  </si>
  <si>
    <t>Providing and laying in position cement concrete including curing compaction etc. of specified grade excluding the cost of centering and shuttering =All up to plinth leve 1:4:8 (1Cement :4 Coarse  Sand :8 Graded stone aggregate 40 mm nominal size</t>
  </si>
  <si>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</si>
  <si>
    <t>Centering and shuttering with plywood or steel sheets including strutting, propping, bracing both ways and removal of formwork for foundations in basements rafts, footings, strap beams, bases of columns , etc. up to plinth level.</t>
  </si>
  <si>
    <t>Providing and fabricating reinforcement for R.C.C. work including straightening, cutting, bending, placing in position and binding (including cost of binding wire) all complete up to floor three level. Tremo Mechanically treated bars</t>
  </si>
  <si>
    <t>Random Rubble stone masonry for foundation and plinth in Cement Sand mortar above 30CM thick wall in: Cement Mortar 1:6 ( 1-Cement : 6-Sand).</t>
  </si>
  <si>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</si>
  <si>
    <t>Supplying and fixing fixed wire gauge of 14 mesh x 24 gauge to the metal frame of rolled section by metal beading 20x3mm with suitable screw at not exceeding 150 mm distance.</t>
  </si>
  <si>
    <t>Providing and fixing Square bars or other flat welded to window, ventilators etc.</t>
  </si>
  <si>
    <t>Polished Blue Kota Stone flooring skirting, laid over 20 mm thick base of C.M. 1:4 and jointed with grey cement slurry to match the shade of the slab including rubbing and polishing complete : For area of each slab up to 2001 to 5000  Sq. Cm : (A) 25 mm thick slab.</t>
  </si>
  <si>
    <t>Random rubble dry stone Kharanja under floor.</t>
  </si>
  <si>
    <t xml:space="preserve">Ground Floor </t>
  </si>
  <si>
    <t>Back Side</t>
  </si>
  <si>
    <t xml:space="preserve"> Main walls 230 mm th. in x and Y Direction</t>
  </si>
  <si>
    <r>
      <t xml:space="preserve">PART 'A' </t>
    </r>
    <r>
      <rPr>
        <sz val="11"/>
        <rFont val="Arial"/>
        <family val="2"/>
      </rPr>
      <t xml:space="preserve"> CIVIL WORK FIRST  FLOOR </t>
    </r>
  </si>
  <si>
    <r>
      <t xml:space="preserve">Centering &amp; shuttering with plywood or steel sheets including strutting propping, bracing both ways with wooden members and removal of form work for superstructure upto 4.5 Mtr. height above plinth level </t>
    </r>
    <r>
      <rPr>
        <b/>
        <sz val="11"/>
        <rFont val="Arial"/>
        <family val="2"/>
      </rPr>
      <t>(A) For Columns, Pillars, Posts and Struts etc.</t>
    </r>
  </si>
  <si>
    <t xml:space="preserve"> Brick Partition walls in X and Y Direction</t>
  </si>
  <si>
    <t>Qty. in Filling</t>
  </si>
  <si>
    <t>Total Qty.</t>
  </si>
  <si>
    <t>Footings</t>
  </si>
  <si>
    <t>Footing</t>
  </si>
  <si>
    <t>Net qty. of Internal Plaster in GF</t>
  </si>
  <si>
    <t xml:space="preserve">PART 'A'  CIVIL WORK GROUND FLOOR </t>
  </si>
  <si>
    <t>RKS TECHNO-LEGAL CONSULTANTS, UDAIPUR</t>
  </si>
  <si>
    <t xml:space="preserve">Net qty. </t>
  </si>
  <si>
    <t>Walls in X AND Y direction</t>
  </si>
  <si>
    <t xml:space="preserve">PART 'A'  CIVIL WORK BASEMENT, GROUND FLOOR </t>
  </si>
  <si>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</si>
  <si>
    <t xml:space="preserve">Earth work in excavation by mechanical means (Hydraulic Excavator )/ manual means in foundation trenches or drains (not exceeding 1.5 m in width or 10 sqm on plan) including dressing of sides and ramming of bottoms, lift upto 1.5 m, including taking out the excavated soil and depositing and refilling of jhiri with watering &amp; ramming and disposal of surplus excavated soil as directed with in a lead of 50 meter. All kinds of soils </t>
  </si>
  <si>
    <t>Brick work with F.P.S. bricks of class designation 75 in superstructure above plinth level upto floor V level in all shapes and sizes in :  : Cement mortar 1 : 6 (1 cement : 6 coarse sand)</t>
  </si>
  <si>
    <t>Random Rubble stone masonry for foundation and plinth in Cement Sand mortar above 30 CM thick wall in: Cement Mortar 1:6 ( 1-Cement : 6-Sand).</t>
  </si>
  <si>
    <t>Centering &amp; shuttering with ply wood or steel
sheets including shuttering , propping, barcing both waves with widen members and removal of form work up to floor three level for:</t>
  </si>
  <si>
    <t>(A)    Suspended    floors,    roofs,    landings,
staircases, balconies, girders, cantilevers, bands , coping, bed plates, anchor blocks, sills, chhajjas lintel, beam etc.</t>
  </si>
  <si>
    <t>(B) Columns, pillars, posts and struts etc.</t>
  </si>
  <si>
    <t>Providing  batta   (gola)   75mm   x   75mm   in
cement concrete (1:2:4) including finished with cement mortar 1:3 as per standard design.</t>
  </si>
  <si>
    <t>Mtr</t>
  </si>
  <si>
    <t>P RM</t>
  </si>
  <si>
    <t>Grading roof  water proofing treatment with  :
Cement concrete 1:2:4 (1-Cement:2-coarse sand  :4-graded  stone  aggregate  20mm nominal size).with water proofing compound as per manufacturers specification</t>
  </si>
  <si>
    <t>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t>
  </si>
  <si>
    <t>Applying plaster of Paris or lime putty sandala over cement plaster surface for making even surface.</t>
  </si>
  <si>
    <t>Making grooves as per design in plaster 10mm to 20mm wide.</t>
  </si>
  <si>
    <t>6 mm cement plaster to ceiling of mix 1 : 3 ( 1 cement : 3 fine - sand )</t>
  </si>
  <si>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t>
  </si>
  <si>
    <t>30mm thick factory made solid panel PVC door
shutter consisting of frame made out of M.S. tubes of 19 gauge thickness and size of 19mm x 19mm for stiles and 15 mm x15mm , top &amp; bottom rails. M.S .frame shall have a coat of steel primers of approved make and manufacture M.S. frame covered with 5mm thick  heat  moulded PVC  ‘C  channel of  size 30mm  thickness,  70mm  width  out  of  which 50mm shall be flat and 20mm shall be tapered in 45 degree angle on either side forming stiles; and 5mm thick, 95mm wide PVC sheet out of which 75 mm shall be flat and 20mm shall be tapered in 45 degree  on the inner side to form top  and  bottom  rail  and  115mm  wide  PVC sheet out of which 75 mm shall be flat and 20mm shall be tapered on both sides to form lock rail. Top bottom and lock rails shall be provided either side of the panel. 10mm (5mm x 2) thick, 20mm wide cross PVC sheet shall be provided as gap insert for top rail &amp; bottom rail. Panelling of 5mm thick PVC sheet to be fitted in the M.S. frame welded/ sealed to the stiles &amp; rails with 7mm (5mm +2mm) thick x
15mm wide PVC sheet bending on inner side,</t>
  </si>
  <si>
    <t>Supply  and  fixing  in  cement  mortar  welded hand railing made out of M.S. round or square bars, flats etc. for staircase or verandah as per design complete in all respect (wooden or PVC hand railing to be paid extra) with priming coat of red oxide.</t>
  </si>
  <si>
    <t>Beams , Slab</t>
  </si>
  <si>
    <t>Partition Walls</t>
  </si>
  <si>
    <t>NAME OF WORK :- Construction of Block Level Library Building at Vakhatpura, PS- Arthuna</t>
  </si>
  <si>
    <t>Toilet</t>
  </si>
  <si>
    <t>Office</t>
  </si>
  <si>
    <t>Walls AREA</t>
  </si>
  <si>
    <t>FOOTING F1</t>
  </si>
  <si>
    <t>Verticle</t>
  </si>
  <si>
    <t xml:space="preserve"> x-Beams H</t>
  </si>
  <si>
    <t>LINTEL Beams Hor</t>
  </si>
  <si>
    <t>Beams Ver</t>
  </si>
  <si>
    <t xml:space="preserve"> Ver</t>
  </si>
  <si>
    <t>Over Wall -Beams H</t>
  </si>
  <si>
    <t>Slab</t>
  </si>
  <si>
    <t>(A)    Suspended    floors,    roofs,    landings, staircases, balconies, girders, cantilevers, bands , coping, bed plates, anchor blocks, sills, chhajjas lintel, beam etc.</t>
  </si>
  <si>
    <t>Staircase</t>
  </si>
  <si>
    <t>Verticcle</t>
  </si>
  <si>
    <t>Plinth Beams</t>
  </si>
  <si>
    <t xml:space="preserve">Beams </t>
  </si>
  <si>
    <r>
      <t xml:space="preserve">Providing and laying in position specified grade of  cement concrete for RCC structural elements upto floor five level including curing, compaction, finishing with rendering in cement sand mortar 1:3 (1 cement: 3 coarse sand) and making good the joints and cost of plastizers (if required ) excluding the cost of centering, shuttering and reinforcement  for Walls (any thickness) including attached pilasters, buttresses, plinth and string courses, fillets, columns, pillars, piers, abutments, posts and struts etc.
</t>
    </r>
    <r>
      <rPr>
        <b/>
        <sz val="12"/>
        <rFont val="Arial"/>
        <family val="2"/>
      </rPr>
      <t xml:space="preserve">M20 grade Nominal Mix /   Design Mix  </t>
    </r>
  </si>
  <si>
    <t>Half brick masonry in Superstructure , above plinth level upto floor V  level  using bricks of designation 75  in Cement mortar 1 : 4 (1 cement : 4 coarse sand)</t>
  </si>
  <si>
    <t>Partition wall</t>
  </si>
  <si>
    <t>Ceiling</t>
  </si>
  <si>
    <t>Beam Sides</t>
  </si>
  <si>
    <t>Horizontal</t>
  </si>
  <si>
    <t>Internal Plaster</t>
  </si>
  <si>
    <t>@ 12 Kg/m</t>
  </si>
  <si>
    <t>Toilets</t>
  </si>
  <si>
    <t>FOOTING F2</t>
  </si>
  <si>
    <t xml:space="preserve">PART 'B'  CIVIL WORK FIRST FLOOR </t>
  </si>
  <si>
    <t>Add Lump Sum  for Furniture</t>
  </si>
  <si>
    <t xml:space="preserve">Providing, hoisting and fixing up to floor five level precast reinforced concrete work in Nominal M20 grade mix including cost of required centering, shuttering, finishing, smooth with 6 mm thick cement plaster 1:3 (1 cement: 3 fine sand) on exposed surface complete excluding cost of reinforcement </t>
  </si>
  <si>
    <t>String courses, copings, bed plates, anchor blocks, plain window sills etc</t>
  </si>
  <si>
    <t>Providing and laying in position specified grade of  cement concrete for RCC structural elements upto floor five level including curing, compaction, finishing with rendering in cement sand mortar 1:3 (1 cement: 3 coarse sand) and making good the joints and cost of plastizers (if required ) excluding the cost of centering, shuttering and reinforcement  for Walls (any thickness) including attached pilasters, buttresses, plinth and string courses, fillets, columns, pillars, piers, abutments, posts and struts etc.: M25 grade Design mix</t>
  </si>
  <si>
    <r>
      <t xml:space="preserve">Providing and laying in position specified grade of  cement concrete for RCC structural elements upto floor five level including curing, compaction, finishing with rendering in cement sand mortar 1:3 (1 cement: 3 coarse sand) and making good the joints and cost of plastizers (if required ) excluding the cost of centering, shuttering and reinforcement  for Walls (any thickness) including attached pilasters, buttresses, plinth and string courses, fillets, columns, pillars, piers, abutments, posts and struts etc.
</t>
    </r>
    <r>
      <rPr>
        <b/>
        <sz val="12"/>
        <rFont val="Arial"/>
        <family val="2"/>
      </rPr>
      <t xml:space="preserve">M25 grade Nominal Mix /   Design Mix  </t>
    </r>
  </si>
  <si>
    <t>Vertical</t>
  </si>
  <si>
    <t>Providing  batta   (gola)   75mm   x   75mm   in .cement concrete (1:2:4) including finished with cement mortar 1:3 as per standard design.</t>
  </si>
  <si>
    <t xml:space="preserve">Add for Contingencies  @ 3% </t>
  </si>
  <si>
    <t xml:space="preserve">Add for Quality Assurance  @ 1 % </t>
  </si>
  <si>
    <t xml:space="preserve">Add for W.C. Establishment  @ 2% </t>
  </si>
  <si>
    <t xml:space="preserve">Add Lump Sum for Electric Fixtures </t>
  </si>
  <si>
    <t>PART 'C'  ELECTRIC  WORK @ 15% OF Civil Work</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</si>
</sst>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name val="Arial"/>
    </font>
    <font>
      <b/>
      <sz val="12"/>
      <name val="Arial"/>
      <family val="2"/>
    </font>
    <font>
      <sz val="12"/>
      <name val="Arial"/>
      <family val="2"/>
    </font>
    <font>
      <sz val="12"/>
      <name val="Arial"/>
      <family val="2"/>
    </font>
    <font>
      <sz val="14"/>
      <name val="Arial"/>
      <family val="2"/>
    </font>
    <font>
      <b/>
      <sz val="12"/>
      <name val="Arial"/>
      <family val="2"/>
    </font>
    <font>
      <sz val="11"/>
      <name val="Arial"/>
      <family val="2"/>
    </font>
    <font>
      <b/>
      <sz val="11"/>
      <name val="Arial"/>
      <family val="2"/>
    </font>
    <font>
      <b/>
      <i/>
      <u/>
      <sz val="11"/>
      <name val="Arial"/>
      <family val="2"/>
    </font>
    <font>
      <b/>
      <u/>
      <sz val="11"/>
      <name val="Arial"/>
      <family val="2"/>
    </font>
    <font>
      <i/>
      <u/>
      <sz val="11"/>
      <name val="Arial"/>
      <family val="2"/>
    </font>
    <font>
      <sz val="12"/>
      <name val="Times New Roman"/>
      <family val="1"/>
    </font>
  </fonts>
  <fills count="2">
    <fill>
      <patternFill patternType="none"/>
    </fill>
    <fill>
      <patternFill patternType="gray125"/>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2" fillId="0" borderId="0"/>
  </cellStyleXfs>
  <cellXfs count="274">
    <xf numFmtId="0" fontId="0" fillId="0" borderId="0" xfId="0"/>
    <xf numFmtId="0" fontId="0" fillId="0" borderId="0" xfId="0" applyAlignment="1">
      <alignment horizontal="centerContinuous"/>
    </xf>
    <xf numFmtId="2" fontId="0" fillId="0" borderId="0" xfId="0" applyNumberFormat="1"/>
    <xf numFmtId="0" fontId="0" fillId="0" borderId="0" xfId="0" quotePrefix="1" applyAlignment="1">
      <alignment horizontal="left"/>
    </xf>
    <xf numFmtId="0" fontId="0" fillId="0" borderId="0" xfId="0" applyBorder="1"/>
    <xf numFmtId="0" fontId="3" fillId="0" borderId="0" xfId="0" applyFont="1"/>
    <xf numFmtId="0" fontId="3" fillId="0" borderId="0" xfId="0" applyFont="1" applyAlignment="1">
      <alignment horizontal="centerContinuous"/>
    </xf>
    <xf numFmtId="2" fontId="3" fillId="0" borderId="0" xfId="0" applyNumberFormat="1" applyFont="1" applyAlignment="1">
      <alignment horizontal="centerContinuous"/>
    </xf>
    <xf numFmtId="0" fontId="1" fillId="0" borderId="0" xfId="0" applyFont="1" applyAlignment="1">
      <alignment horizontal="centerContinuous"/>
    </xf>
    <xf numFmtId="0" fontId="3" fillId="0" borderId="0" xfId="0" quotePrefix="1" applyFont="1" applyAlignment="1">
      <alignment horizontal="left" vertical="top" wrapText="1"/>
    </xf>
    <xf numFmtId="0" fontId="3" fillId="0" borderId="0" xfId="0" quotePrefix="1" applyFont="1" applyAlignment="1">
      <alignment horizontal="centerContinuous" vertical="top"/>
    </xf>
    <xf numFmtId="2" fontId="0" fillId="0" borderId="0" xfId="0" applyNumberFormat="1" applyAlignment="1">
      <alignment horizontal="left"/>
    </xf>
    <xf numFmtId="2" fontId="0" fillId="0" borderId="0" xfId="0" applyNumberFormat="1" applyAlignment="1">
      <alignment horizontal="centerContinuous"/>
    </xf>
    <xf numFmtId="0" fontId="4" fillId="0" borderId="0" xfId="0" applyFont="1" applyAlignment="1">
      <alignment horizontal="centerContinuous" vertical="top" wrapText="1"/>
    </xf>
    <xf numFmtId="2" fontId="5" fillId="0" borderId="0" xfId="0" applyNumberFormat="1" applyFont="1" applyAlignment="1">
      <alignment horizontal="left"/>
    </xf>
    <xf numFmtId="0" fontId="3" fillId="0" borderId="0" xfId="0" applyFont="1" applyAlignment="1">
      <alignment horizontal="left" vertical="top" wrapText="1"/>
    </xf>
    <xf numFmtId="0" fontId="5" fillId="0" borderId="0" xfId="0" applyFont="1" applyAlignment="1">
      <alignment vertical="top"/>
    </xf>
    <xf numFmtId="0" fontId="0" fillId="0" borderId="0" xfId="0" quotePrefix="1" applyAlignment="1">
      <alignment horizontal="center"/>
    </xf>
    <xf numFmtId="0" fontId="5" fillId="0" borderId="0" xfId="0" quotePrefix="1" applyFont="1" applyAlignment="1">
      <alignment horizontal="left" vertical="top"/>
    </xf>
    <xf numFmtId="0" fontId="0" fillId="0" borderId="0" xfId="0" applyAlignment="1">
      <alignment horizontal="right"/>
    </xf>
    <xf numFmtId="2" fontId="5" fillId="0" borderId="0" xfId="0" applyNumberFormat="1" applyFont="1" applyAlignment="1">
      <alignment horizontal="right"/>
    </xf>
    <xf numFmtId="0" fontId="3" fillId="0" borderId="0" xfId="0" applyFont="1" applyAlignment="1"/>
    <xf numFmtId="2" fontId="3" fillId="0" borderId="0" xfId="0" applyNumberFormat="1" applyFont="1" applyBorder="1" applyAlignment="1">
      <alignment horizontal="right" vertical="top" wrapText="1"/>
    </xf>
    <xf numFmtId="2" fontId="0" fillId="0" borderId="2" xfId="0" applyNumberFormat="1" applyBorder="1"/>
    <xf numFmtId="0" fontId="5" fillId="0" borderId="0" xfId="0" applyFont="1" applyAlignment="1"/>
    <xf numFmtId="0" fontId="3" fillId="0" borderId="0" xfId="0" quotePrefix="1" applyFont="1" applyBorder="1" applyAlignment="1">
      <alignment horizontal="left" vertical="top" wrapText="1"/>
    </xf>
    <xf numFmtId="2" fontId="1" fillId="0" borderId="0" xfId="0" applyNumberFormat="1" applyFont="1" applyAlignment="1">
      <alignment horizontal="center"/>
    </xf>
    <xf numFmtId="1" fontId="3" fillId="0" borderId="0" xfId="0" applyNumberFormat="1" applyFont="1" applyAlignment="1">
      <alignment horizontal="right" vertical="top"/>
    </xf>
    <xf numFmtId="2" fontId="3" fillId="0" borderId="0" xfId="0" applyNumberFormat="1" applyFont="1" applyAlignment="1">
      <alignment horizontal="right" vertical="top"/>
    </xf>
    <xf numFmtId="1" fontId="3" fillId="0" borderId="0" xfId="0" applyNumberFormat="1" applyFont="1" applyBorder="1" applyAlignment="1">
      <alignment horizontal="right" vertical="top"/>
    </xf>
    <xf numFmtId="0" fontId="0" fillId="0" borderId="2" xfId="0" applyBorder="1" applyAlignment="1">
      <alignment vertical="top"/>
    </xf>
    <xf numFmtId="2" fontId="0" fillId="0" borderId="2" xfId="0" applyNumberFormat="1" applyBorder="1" applyAlignment="1">
      <alignment vertical="top"/>
    </xf>
    <xf numFmtId="0" fontId="2" fillId="0" borderId="0" xfId="0" applyFont="1" applyAlignment="1">
      <alignment horizontal="left" vertical="top" wrapText="1"/>
    </xf>
    <xf numFmtId="0" fontId="2" fillId="0" borderId="0" xfId="0" quotePrefix="1" applyFont="1" applyAlignment="1">
      <alignment horizontal="left" vertical="top"/>
    </xf>
    <xf numFmtId="0" fontId="6" fillId="0" borderId="0" xfId="0" applyFont="1" applyFill="1" applyBorder="1" applyAlignment="1">
      <alignment horizontal="center" vertical="top"/>
    </xf>
    <xf numFmtId="0" fontId="6" fillId="0" borderId="0" xfId="0" applyFont="1" applyFill="1" applyBorder="1" applyAlignment="1">
      <alignment horizontal="justify" vertical="top" wrapText="1"/>
    </xf>
    <xf numFmtId="0" fontId="6" fillId="0" borderId="0" xfId="0" applyFont="1" applyFill="1" applyBorder="1" applyAlignment="1">
      <alignment vertical="top"/>
    </xf>
    <xf numFmtId="49" fontId="6" fillId="0" borderId="0" xfId="0" applyNumberFormat="1" applyFont="1" applyFill="1" applyBorder="1" applyAlignment="1">
      <alignment horizontal="center" vertical="top"/>
    </xf>
    <xf numFmtId="2" fontId="6" fillId="0" borderId="0" xfId="0" applyNumberFormat="1" applyFont="1" applyFill="1" applyBorder="1" applyAlignment="1">
      <alignment vertical="top"/>
    </xf>
    <xf numFmtId="0" fontId="2" fillId="0" borderId="2" xfId="0" applyFont="1" applyFill="1" applyBorder="1" applyAlignment="1">
      <alignment horizontal="center" vertical="top"/>
    </xf>
    <xf numFmtId="0" fontId="2" fillId="0" borderId="3" xfId="0" applyFont="1" applyFill="1" applyBorder="1" applyAlignment="1">
      <alignment horizontal="center" vertical="top"/>
    </xf>
    <xf numFmtId="0" fontId="2" fillId="0" borderId="3" xfId="0" applyFont="1" applyFill="1" applyBorder="1" applyAlignment="1">
      <alignment horizontal="justify" vertical="top" wrapText="1"/>
    </xf>
    <xf numFmtId="49" fontId="2" fillId="0" borderId="3" xfId="0" applyNumberFormat="1" applyFont="1" applyFill="1" applyBorder="1" applyAlignment="1">
      <alignment horizontal="center" vertical="top"/>
    </xf>
    <xf numFmtId="0" fontId="2" fillId="0" borderId="0" xfId="0" applyFont="1" applyFill="1"/>
    <xf numFmtId="0" fontId="2" fillId="0" borderId="0" xfId="0" applyFont="1" applyFill="1" applyAlignment="1">
      <alignment horizontal="left" vertical="top"/>
    </xf>
    <xf numFmtId="0" fontId="2" fillId="0" borderId="0" xfId="0" applyFont="1" applyFill="1" applyAlignment="1">
      <alignment horizontal="justify" vertical="top" wrapText="1"/>
    </xf>
    <xf numFmtId="0" fontId="2" fillId="0" borderId="3" xfId="0" quotePrefix="1" applyFont="1" applyFill="1" applyBorder="1" applyAlignment="1">
      <alignment horizontal="justify" vertical="top" wrapText="1"/>
    </xf>
    <xf numFmtId="0" fontId="2" fillId="0" borderId="3" xfId="0" applyNumberFormat="1" applyFont="1" applyFill="1" applyBorder="1" applyAlignment="1">
      <alignment horizontal="justify" vertical="top" wrapText="1"/>
    </xf>
    <xf numFmtId="0" fontId="2" fillId="0" borderId="0" xfId="0" applyFont="1" applyFill="1" applyBorder="1"/>
    <xf numFmtId="0" fontId="5" fillId="0" borderId="0" xfId="0" applyFont="1" applyFill="1"/>
    <xf numFmtId="2" fontId="2" fillId="0" borderId="0" xfId="0" applyNumberFormat="1" applyFont="1" applyFill="1" applyBorder="1"/>
    <xf numFmtId="0" fontId="5" fillId="0" borderId="0" xfId="0" applyFont="1" applyFill="1" applyAlignment="1">
      <alignment vertical="top"/>
    </xf>
    <xf numFmtId="0" fontId="5" fillId="0" borderId="0" xfId="0" applyFont="1" applyFill="1" applyAlignment="1">
      <alignment horizontal="justify" vertical="top"/>
    </xf>
    <xf numFmtId="0" fontId="2" fillId="0" borderId="0" xfId="0" applyFont="1" applyFill="1" applyAlignment="1">
      <alignment vertical="top"/>
    </xf>
    <xf numFmtId="2" fontId="2" fillId="0" borderId="2" xfId="0" applyNumberFormat="1" applyFont="1" applyFill="1" applyBorder="1" applyAlignment="1">
      <alignment horizontal="center" vertical="top"/>
    </xf>
    <xf numFmtId="1" fontId="2" fillId="0" borderId="2" xfId="0" applyNumberFormat="1" applyFont="1" applyFill="1" applyBorder="1" applyAlignment="1">
      <alignment horizontal="center" vertical="top"/>
    </xf>
    <xf numFmtId="2" fontId="2" fillId="0" borderId="3" xfId="0" applyNumberFormat="1" applyFont="1" applyFill="1" applyBorder="1" applyAlignment="1">
      <alignment horizontal="center" vertical="top"/>
    </xf>
    <xf numFmtId="1" fontId="2" fillId="0" borderId="3" xfId="0" applyNumberFormat="1" applyFont="1" applyFill="1" applyBorder="1" applyAlignment="1">
      <alignment horizontal="center" vertical="top"/>
    </xf>
    <xf numFmtId="0" fontId="2" fillId="0" borderId="3" xfId="0" quotePrefix="1" applyFont="1" applyFill="1" applyBorder="1" applyAlignment="1">
      <alignment horizontal="center" vertical="top"/>
    </xf>
    <xf numFmtId="0" fontId="2" fillId="0" borderId="0" xfId="0" applyFont="1" applyFill="1" applyAlignment="1">
      <alignment horizontal="center" vertical="top"/>
    </xf>
    <xf numFmtId="2" fontId="2" fillId="0" borderId="1" xfId="0" applyNumberFormat="1" applyFont="1" applyFill="1" applyBorder="1" applyAlignment="1">
      <alignment horizontal="center" vertical="top"/>
    </xf>
    <xf numFmtId="2" fontId="2" fillId="0" borderId="0" xfId="0" applyNumberFormat="1" applyFont="1" applyFill="1" applyAlignment="1">
      <alignment horizontal="center" vertical="top"/>
    </xf>
    <xf numFmtId="0" fontId="5" fillId="0" borderId="0" xfId="0" applyFont="1" applyFill="1" applyAlignment="1">
      <alignment horizontal="center" vertical="top"/>
    </xf>
    <xf numFmtId="0" fontId="6" fillId="0" borderId="0" xfId="0" applyFont="1" applyFill="1" applyAlignment="1">
      <alignment vertical="top"/>
    </xf>
    <xf numFmtId="0" fontId="6" fillId="0" borderId="2" xfId="0" applyFont="1" applyFill="1" applyBorder="1" applyAlignment="1">
      <alignment horizontal="center" vertical="top"/>
    </xf>
    <xf numFmtId="0" fontId="6" fillId="0" borderId="2" xfId="0" applyNumberFormat="1" applyFont="1" applyFill="1" applyBorder="1" applyAlignment="1">
      <alignment horizontal="center" vertical="top" wrapText="1"/>
    </xf>
    <xf numFmtId="2" fontId="6" fillId="0" borderId="2" xfId="0" applyNumberFormat="1" applyFont="1" applyFill="1" applyBorder="1" applyAlignment="1">
      <alignment horizontal="center" vertical="top"/>
    </xf>
    <xf numFmtId="0" fontId="6" fillId="0" borderId="0" xfId="0" applyFont="1" applyFill="1" applyAlignment="1">
      <alignment horizontal="center" vertical="top"/>
    </xf>
    <xf numFmtId="0" fontId="6" fillId="0" borderId="0" xfId="0" applyFont="1" applyFill="1" applyAlignment="1">
      <alignment horizontal="left" vertical="top"/>
    </xf>
    <xf numFmtId="0" fontId="8" fillId="0" borderId="0" xfId="0" applyNumberFormat="1" applyFont="1" applyFill="1" applyAlignment="1">
      <alignment horizontal="justify" vertical="top" wrapText="1"/>
    </xf>
    <xf numFmtId="2" fontId="6" fillId="0" borderId="0" xfId="0" applyNumberFormat="1" applyFont="1" applyFill="1" applyAlignment="1">
      <alignment vertical="top"/>
    </xf>
    <xf numFmtId="2" fontId="6" fillId="0" borderId="0" xfId="0" applyNumberFormat="1" applyFont="1" applyFill="1" applyAlignment="1">
      <alignment horizontal="right" vertical="top"/>
    </xf>
    <xf numFmtId="0" fontId="9" fillId="0" borderId="0" xfId="0" applyNumberFormat="1" applyFont="1" applyFill="1" applyAlignment="1">
      <alignment horizontal="justify" vertical="top" wrapText="1"/>
    </xf>
    <xf numFmtId="0" fontId="6" fillId="0" borderId="0" xfId="0" quotePrefix="1" applyFont="1" applyFill="1" applyAlignment="1">
      <alignment horizontal="left" vertical="top"/>
    </xf>
    <xf numFmtId="0" fontId="6" fillId="0" borderId="0" xfId="0" applyNumberFormat="1" applyFont="1" applyFill="1" applyAlignment="1">
      <alignment horizontal="justify" vertical="top" wrapText="1"/>
    </xf>
    <xf numFmtId="0" fontId="6" fillId="0" borderId="0" xfId="0" quotePrefix="1" applyFont="1" applyFill="1" applyAlignment="1">
      <alignment vertical="top"/>
    </xf>
    <xf numFmtId="2" fontId="6" fillId="0" borderId="2" xfId="0" applyNumberFormat="1" applyFont="1" applyFill="1" applyBorder="1" applyAlignment="1">
      <alignment vertical="top"/>
    </xf>
    <xf numFmtId="0" fontId="6" fillId="0" borderId="2" xfId="0" quotePrefix="1" applyFont="1" applyFill="1" applyBorder="1" applyAlignment="1">
      <alignment vertical="top"/>
    </xf>
    <xf numFmtId="0" fontId="6" fillId="0" borderId="2" xfId="0" applyFont="1" applyFill="1" applyBorder="1" applyAlignment="1">
      <alignment horizontal="left" vertical="top"/>
    </xf>
    <xf numFmtId="0" fontId="6" fillId="0" borderId="0" xfId="0" quotePrefix="1" applyFont="1" applyFill="1" applyBorder="1" applyAlignment="1">
      <alignment vertical="top"/>
    </xf>
    <xf numFmtId="0" fontId="6" fillId="0" borderId="0" xfId="0" applyFont="1" applyFill="1" applyBorder="1" applyAlignment="1">
      <alignment horizontal="left" vertical="top"/>
    </xf>
    <xf numFmtId="0" fontId="7" fillId="0" borderId="0" xfId="0" applyNumberFormat="1" applyFont="1" applyFill="1" applyAlignment="1">
      <alignment horizontal="justify" vertical="top" wrapText="1"/>
    </xf>
    <xf numFmtId="2" fontId="6" fillId="0" borderId="0" xfId="0" quotePrefix="1" applyNumberFormat="1" applyFont="1" applyFill="1" applyAlignment="1">
      <alignment horizontal="centerContinuous" vertical="top"/>
    </xf>
    <xf numFmtId="2" fontId="6" fillId="0" borderId="0" xfId="0" applyNumberFormat="1" applyFont="1" applyFill="1" applyAlignment="1">
      <alignment horizontal="centerContinuous" vertical="top"/>
    </xf>
    <xf numFmtId="0" fontId="6" fillId="0" borderId="0" xfId="0" applyFont="1" applyFill="1" applyAlignment="1">
      <alignment horizontal="centerContinuous" vertical="top"/>
    </xf>
    <xf numFmtId="0" fontId="7" fillId="0" borderId="0" xfId="0" quotePrefix="1" applyFont="1" applyFill="1" applyAlignment="1">
      <alignment vertical="top"/>
    </xf>
    <xf numFmtId="2" fontId="7" fillId="0" borderId="0" xfId="0" applyNumberFormat="1" applyFont="1" applyFill="1" applyAlignment="1">
      <alignment vertical="top"/>
    </xf>
    <xf numFmtId="0" fontId="7" fillId="0" borderId="0" xfId="0" applyFont="1" applyFill="1" applyAlignment="1">
      <alignment horizontal="left" vertical="top"/>
    </xf>
    <xf numFmtId="0" fontId="6" fillId="0" borderId="0" xfId="0" applyFont="1" applyFill="1" applyBorder="1" applyAlignment="1">
      <alignment horizontal="right" vertical="top"/>
    </xf>
    <xf numFmtId="2" fontId="6" fillId="0" borderId="0" xfId="0" applyNumberFormat="1" applyFont="1" applyFill="1" applyBorder="1" applyAlignment="1">
      <alignment horizontal="right" vertical="top"/>
    </xf>
    <xf numFmtId="0" fontId="6" fillId="0" borderId="0" xfId="0" quotePrefix="1" applyFont="1" applyFill="1" applyBorder="1" applyAlignment="1">
      <alignment horizontal="right" vertical="top"/>
    </xf>
    <xf numFmtId="0" fontId="6" fillId="0" borderId="0" xfId="0" quotePrefix="1" applyFont="1" applyFill="1" applyBorder="1" applyAlignment="1">
      <alignment horizontal="left" vertical="top"/>
    </xf>
    <xf numFmtId="0" fontId="7" fillId="0" borderId="2" xfId="0" quotePrefix="1" applyFont="1" applyFill="1" applyBorder="1" applyAlignment="1">
      <alignment horizontal="left" vertical="top"/>
    </xf>
    <xf numFmtId="0" fontId="2" fillId="0" borderId="0" xfId="0" applyFont="1" applyFill="1" applyBorder="1" applyAlignment="1">
      <alignment wrapText="1"/>
    </xf>
    <xf numFmtId="2" fontId="2" fillId="0" borderId="0" xfId="0" applyNumberFormat="1" applyFont="1" applyFill="1" applyBorder="1" applyAlignment="1">
      <alignment wrapText="1"/>
    </xf>
    <xf numFmtId="0" fontId="6" fillId="0" borderId="1" xfId="0" applyFont="1" applyFill="1" applyBorder="1" applyAlignment="1">
      <alignment vertical="top"/>
    </xf>
    <xf numFmtId="0" fontId="6" fillId="0" borderId="2" xfId="0" quotePrefix="1" applyFont="1" applyFill="1" applyBorder="1" applyAlignment="1">
      <alignment horizontal="left" vertical="top"/>
    </xf>
    <xf numFmtId="2" fontId="2" fillId="0" borderId="0" xfId="0" applyNumberFormat="1" applyFont="1" applyFill="1" applyBorder="1" applyAlignment="1">
      <alignment vertical="top" wrapText="1"/>
    </xf>
    <xf numFmtId="0" fontId="7" fillId="0" borderId="2" xfId="0" applyFont="1" applyFill="1" applyBorder="1" applyAlignment="1">
      <alignment horizontal="left" vertical="top"/>
    </xf>
    <xf numFmtId="1" fontId="6" fillId="0" borderId="0" xfId="0" applyNumberFormat="1" applyFont="1" applyFill="1" applyBorder="1" applyAlignment="1">
      <alignment horizontal="right" vertical="top"/>
    </xf>
    <xf numFmtId="1" fontId="6" fillId="0" borderId="0" xfId="0" applyNumberFormat="1" applyFont="1" applyFill="1" applyBorder="1" applyAlignment="1">
      <alignment vertical="top"/>
    </xf>
    <xf numFmtId="2" fontId="6" fillId="0" borderId="2" xfId="0" applyNumberFormat="1" applyFont="1" applyFill="1" applyBorder="1" applyAlignment="1">
      <alignment horizontal="right" vertical="top"/>
    </xf>
    <xf numFmtId="0" fontId="6" fillId="0" borderId="0" xfId="0" quotePrefix="1" applyFont="1" applyFill="1" applyAlignment="1">
      <alignment horizontal="center" vertical="top"/>
    </xf>
    <xf numFmtId="0" fontId="7" fillId="0" borderId="0" xfId="0" applyFont="1" applyFill="1" applyAlignment="1">
      <alignment vertical="top"/>
    </xf>
    <xf numFmtId="2" fontId="6" fillId="0" borderId="0" xfId="0" quotePrefix="1" applyNumberFormat="1" applyFont="1" applyFill="1" applyBorder="1" applyAlignment="1">
      <alignment horizontal="center" vertical="top"/>
    </xf>
    <xf numFmtId="2" fontId="7" fillId="0" borderId="0" xfId="0" applyNumberFormat="1" applyFont="1" applyFill="1" applyBorder="1" applyAlignment="1">
      <alignment vertical="top"/>
    </xf>
    <xf numFmtId="0" fontId="6" fillId="0" borderId="0" xfId="0" applyNumberFormat="1" applyFont="1" applyFill="1" applyBorder="1" applyAlignment="1">
      <alignment horizontal="justify" vertical="top" wrapText="1"/>
    </xf>
    <xf numFmtId="2" fontId="7" fillId="0" borderId="3" xfId="0" applyNumberFormat="1" applyFont="1" applyFill="1" applyBorder="1" applyAlignment="1">
      <alignment vertical="top"/>
    </xf>
    <xf numFmtId="0" fontId="2" fillId="0" borderId="0" xfId="0" applyFont="1" applyAlignment="1">
      <alignment horizontal="left"/>
    </xf>
    <xf numFmtId="0" fontId="6" fillId="0" borderId="0" xfId="0" applyFont="1" applyFill="1" applyAlignment="1">
      <alignment horizontal="center" vertical="top"/>
    </xf>
    <xf numFmtId="2" fontId="6" fillId="0" borderId="0" xfId="0" applyNumberFormat="1" applyFont="1" applyFill="1" applyAlignment="1">
      <alignment horizontal="center" vertical="top"/>
    </xf>
    <xf numFmtId="0" fontId="2" fillId="0" borderId="0" xfId="0" applyFont="1" applyAlignment="1">
      <alignment horizontal="left" vertical="top" wrapText="1"/>
    </xf>
    <xf numFmtId="0" fontId="2" fillId="0" borderId="2" xfId="0" applyFont="1" applyFill="1" applyBorder="1" applyAlignment="1">
      <alignment horizontal="justify" vertical="top" wrapText="1"/>
    </xf>
    <xf numFmtId="0" fontId="2" fillId="0" borderId="0" xfId="0" applyFont="1" applyFill="1" applyBorder="1" applyAlignment="1">
      <alignment horizontal="center" vertical="top"/>
    </xf>
    <xf numFmtId="0" fontId="7" fillId="0" borderId="0" xfId="0" applyFont="1" applyFill="1" applyBorder="1" applyAlignment="1">
      <alignment vertical="top"/>
    </xf>
    <xf numFmtId="2" fontId="7" fillId="0" borderId="0" xfId="0" applyNumberFormat="1" applyFont="1" applyFill="1" applyBorder="1" applyAlignment="1">
      <alignment horizontal="right" vertical="top"/>
    </xf>
    <xf numFmtId="0" fontId="7" fillId="0" borderId="0" xfId="0" quotePrefix="1" applyFont="1" applyFill="1" applyBorder="1" applyAlignment="1">
      <alignment horizontal="left" vertical="top"/>
    </xf>
    <xf numFmtId="0" fontId="6" fillId="0" borderId="0" xfId="0" quotePrefix="1" applyNumberFormat="1" applyFont="1" applyFill="1" applyBorder="1" applyAlignment="1">
      <alignment horizontal="justify" vertical="top" wrapText="1"/>
    </xf>
    <xf numFmtId="0" fontId="6" fillId="0" borderId="0" xfId="0" quotePrefix="1" applyFont="1" applyFill="1" applyBorder="1" applyAlignment="1">
      <alignment horizontal="center" vertical="top"/>
    </xf>
    <xf numFmtId="0" fontId="9" fillId="0" borderId="0" xfId="0" applyNumberFormat="1" applyFont="1" applyFill="1" applyBorder="1" applyAlignment="1">
      <alignment horizontal="justify" vertical="top" wrapText="1"/>
    </xf>
    <xf numFmtId="2" fontId="6" fillId="0" borderId="0" xfId="0" quotePrefix="1" applyNumberFormat="1" applyFont="1" applyFill="1" applyBorder="1" applyAlignment="1">
      <alignment horizontal="centerContinuous" vertical="top"/>
    </xf>
    <xf numFmtId="0" fontId="10" fillId="0" borderId="0" xfId="0" applyNumberFormat="1" applyFont="1" applyFill="1" applyBorder="1" applyAlignment="1">
      <alignment horizontal="justify" vertical="top" wrapText="1"/>
    </xf>
    <xf numFmtId="0" fontId="6" fillId="0" borderId="0" xfId="0" quotePrefix="1" applyFont="1" applyFill="1" applyBorder="1" applyAlignment="1">
      <alignment horizontal="left" vertical="top" wrapText="1"/>
    </xf>
    <xf numFmtId="2" fontId="6" fillId="0" borderId="0" xfId="0" applyNumberFormat="1" applyFont="1" applyFill="1" applyBorder="1" applyAlignment="1">
      <alignment horizontal="centerContinuous" vertical="top"/>
    </xf>
    <xf numFmtId="0" fontId="8" fillId="0" borderId="0" xfId="0" quotePrefix="1" applyNumberFormat="1" applyFont="1" applyFill="1" applyBorder="1" applyAlignment="1">
      <alignment horizontal="justify" vertical="top" wrapText="1"/>
    </xf>
    <xf numFmtId="0" fontId="6" fillId="0" borderId="0" xfId="0" applyNumberFormat="1" applyFont="1" applyFill="1" applyBorder="1" applyAlignment="1">
      <alignment vertical="top" wrapText="1"/>
    </xf>
    <xf numFmtId="0" fontId="6" fillId="0" borderId="0" xfId="0" applyFont="1" applyFill="1" applyBorder="1" applyAlignment="1">
      <alignment horizontal="centerContinuous" vertical="top"/>
    </xf>
    <xf numFmtId="1" fontId="6" fillId="0" borderId="0" xfId="0" applyNumberFormat="1" applyFont="1" applyFill="1" applyBorder="1" applyAlignment="1">
      <alignment horizontal="center" vertical="top"/>
    </xf>
    <xf numFmtId="2" fontId="6" fillId="0" borderId="0" xfId="0" applyNumberFormat="1" applyFont="1" applyFill="1" applyBorder="1" applyAlignment="1">
      <alignment horizontal="center" vertical="top"/>
    </xf>
    <xf numFmtId="0" fontId="7" fillId="0" borderId="0" xfId="0" applyFont="1" applyFill="1" applyBorder="1" applyAlignment="1">
      <alignment horizontal="left" vertical="top"/>
    </xf>
    <xf numFmtId="2" fontId="5" fillId="0" borderId="3" xfId="0" applyNumberFormat="1" applyFont="1" applyFill="1" applyBorder="1" applyAlignment="1">
      <alignment horizontal="center" vertical="top"/>
    </xf>
    <xf numFmtId="0" fontId="11" fillId="0" borderId="0" xfId="0" applyFont="1" applyFill="1" applyBorder="1" applyAlignment="1"/>
    <xf numFmtId="0" fontId="2" fillId="0" borderId="0" xfId="0" applyFont="1" applyFill="1" applyBorder="1" applyAlignment="1">
      <alignment horizontal="justify" vertical="justify" wrapText="1"/>
    </xf>
    <xf numFmtId="0" fontId="0" fillId="0" borderId="2" xfId="0" applyBorder="1" applyAlignment="1">
      <alignment horizontal="right"/>
    </xf>
    <xf numFmtId="0" fontId="5" fillId="0" borderId="0" xfId="0" applyFont="1" applyAlignment="1">
      <alignment horizontal="center" vertical="top"/>
    </xf>
    <xf numFmtId="0" fontId="2" fillId="0" borderId="0" xfId="0" applyFont="1" applyAlignment="1">
      <alignment horizontal="left" vertical="top" wrapText="1"/>
    </xf>
    <xf numFmtId="0" fontId="3" fillId="0" borderId="0" xfId="0" quotePrefix="1" applyFont="1" applyAlignment="1">
      <alignment horizontal="left" vertical="top" wrapText="1"/>
    </xf>
    <xf numFmtId="0" fontId="2" fillId="0" borderId="0" xfId="0" applyFont="1" applyFill="1" applyAlignment="1">
      <alignment horizontal="center"/>
    </xf>
    <xf numFmtId="0" fontId="5" fillId="0" borderId="0" xfId="0" applyFont="1" applyFill="1" applyAlignment="1">
      <alignment horizontal="center"/>
    </xf>
    <xf numFmtId="0" fontId="2" fillId="0" borderId="0" xfId="0" applyFont="1" applyFill="1" applyAlignment="1">
      <alignment horizontal="center" vertical="top" wrapText="1"/>
    </xf>
    <xf numFmtId="0" fontId="7" fillId="0" borderId="0" xfId="0" applyFont="1" applyFill="1" applyBorder="1" applyAlignment="1">
      <alignment horizontal="right" vertical="top"/>
    </xf>
    <xf numFmtId="0" fontId="7" fillId="0" borderId="0" xfId="0" applyFont="1" applyFill="1" applyAlignment="1">
      <alignment horizontal="center" vertical="top"/>
    </xf>
    <xf numFmtId="0" fontId="6" fillId="0" borderId="0" xfId="0" applyFont="1" applyFill="1" applyAlignment="1">
      <alignment horizontal="center" vertical="top"/>
    </xf>
    <xf numFmtId="2" fontId="6" fillId="0" borderId="0" xfId="0" applyNumberFormat="1" applyFont="1" applyFill="1" applyBorder="1" applyAlignment="1">
      <alignment horizontal="center" vertical="top"/>
    </xf>
    <xf numFmtId="0" fontId="6" fillId="0" borderId="0" xfId="0" applyFont="1" applyFill="1" applyAlignment="1">
      <alignment horizontal="center" vertical="top" wrapText="1"/>
    </xf>
    <xf numFmtId="0" fontId="2" fillId="0" borderId="0" xfId="1" applyFont="1" applyFill="1"/>
    <xf numFmtId="0" fontId="2" fillId="0" borderId="0" xfId="1" applyFont="1" applyFill="1" applyAlignment="1">
      <alignment horizontal="center" vertical="top"/>
    </xf>
    <xf numFmtId="2" fontId="2" fillId="0" borderId="0" xfId="1" applyNumberFormat="1" applyFont="1" applyFill="1" applyAlignment="1">
      <alignment horizontal="center" vertical="top"/>
    </xf>
    <xf numFmtId="0" fontId="2" fillId="0" borderId="0" xfId="1" applyFont="1" applyFill="1" applyAlignment="1">
      <alignment horizontal="justify" vertical="top" wrapText="1"/>
    </xf>
    <xf numFmtId="0" fontId="2" fillId="0" borderId="0" xfId="1" applyFont="1" applyFill="1" applyAlignment="1">
      <alignment horizontal="left" vertical="top"/>
    </xf>
    <xf numFmtId="0" fontId="1" fillId="0" borderId="0" xfId="1" applyFont="1" applyFill="1" applyAlignment="1">
      <alignment horizontal="center" vertical="top"/>
    </xf>
    <xf numFmtId="0" fontId="1" fillId="0" borderId="0" xfId="1" applyFont="1" applyFill="1" applyAlignment="1">
      <alignment horizontal="justify" vertical="top"/>
    </xf>
    <xf numFmtId="0" fontId="1" fillId="0" borderId="0" xfId="1" applyFont="1" applyFill="1" applyAlignment="1">
      <alignment vertical="top"/>
    </xf>
    <xf numFmtId="2" fontId="2" fillId="0" borderId="1" xfId="1" applyNumberFormat="1" applyFont="1" applyFill="1" applyBorder="1" applyAlignment="1">
      <alignment horizontal="center" vertical="top"/>
    </xf>
    <xf numFmtId="2" fontId="2" fillId="0" borderId="3" xfId="1" applyNumberFormat="1" applyFont="1" applyFill="1" applyBorder="1" applyAlignment="1">
      <alignment horizontal="center" vertical="top"/>
    </xf>
    <xf numFmtId="0" fontId="2" fillId="0" borderId="3" xfId="1" applyFont="1" applyFill="1" applyBorder="1" applyAlignment="1">
      <alignment horizontal="center" vertical="top"/>
    </xf>
    <xf numFmtId="0" fontId="2" fillId="0" borderId="3" xfId="1" applyFont="1" applyFill="1" applyBorder="1" applyAlignment="1">
      <alignment horizontal="justify" vertical="top" wrapText="1"/>
    </xf>
    <xf numFmtId="0" fontId="2" fillId="0" borderId="3" xfId="1" quotePrefix="1" applyFont="1" applyFill="1" applyBorder="1" applyAlignment="1">
      <alignment horizontal="center" vertical="top"/>
    </xf>
    <xf numFmtId="0" fontId="2" fillId="0" borderId="3" xfId="1" quotePrefix="1" applyFont="1" applyFill="1" applyBorder="1" applyAlignment="1">
      <alignment horizontal="justify" vertical="top" wrapText="1"/>
    </xf>
    <xf numFmtId="0" fontId="2" fillId="0" borderId="3" xfId="1" applyNumberFormat="1" applyFont="1" applyFill="1" applyBorder="1" applyAlignment="1">
      <alignment horizontal="justify" vertical="top" wrapText="1"/>
    </xf>
    <xf numFmtId="49" fontId="2" fillId="0" borderId="3" xfId="1" applyNumberFormat="1" applyFont="1" applyFill="1" applyBorder="1" applyAlignment="1">
      <alignment horizontal="center" vertical="top"/>
    </xf>
    <xf numFmtId="0" fontId="2" fillId="0" borderId="0" xfId="1" applyFont="1" applyFill="1" applyBorder="1"/>
    <xf numFmtId="2" fontId="2" fillId="0" borderId="0" xfId="1" applyNumberFormat="1" applyFont="1" applyFill="1" applyBorder="1"/>
    <xf numFmtId="0" fontId="1" fillId="0" borderId="0" xfId="1" applyFont="1" applyFill="1"/>
    <xf numFmtId="0" fontId="2" fillId="0" borderId="0" xfId="1" applyFont="1" applyFill="1" applyAlignment="1">
      <alignment vertical="top"/>
    </xf>
    <xf numFmtId="1" fontId="2" fillId="0" borderId="3" xfId="1" applyNumberFormat="1" applyFont="1" applyFill="1" applyBorder="1" applyAlignment="1">
      <alignment horizontal="center" vertical="top"/>
    </xf>
    <xf numFmtId="0" fontId="11" fillId="0" borderId="0" xfId="1" applyFont="1" applyFill="1" applyBorder="1" applyAlignment="1"/>
    <xf numFmtId="2" fontId="1" fillId="0" borderId="3" xfId="1" applyNumberFormat="1" applyFont="1" applyFill="1" applyBorder="1" applyAlignment="1">
      <alignment horizontal="center" vertical="top"/>
    </xf>
    <xf numFmtId="0" fontId="2" fillId="0" borderId="0" xfId="1" applyFont="1" applyFill="1" applyBorder="1" applyAlignment="1">
      <alignment horizontal="justify" vertical="justify" wrapText="1"/>
    </xf>
    <xf numFmtId="1" fontId="2" fillId="0" borderId="2" xfId="1" applyNumberFormat="1" applyFont="1" applyFill="1" applyBorder="1" applyAlignment="1">
      <alignment horizontal="center" vertical="top"/>
    </xf>
    <xf numFmtId="0" fontId="2" fillId="0" borderId="2" xfId="1" applyFont="1" applyFill="1" applyBorder="1" applyAlignment="1">
      <alignment horizontal="center" vertical="top"/>
    </xf>
    <xf numFmtId="2" fontId="2" fillId="0" borderId="2" xfId="1" applyNumberFormat="1" applyFont="1" applyFill="1" applyBorder="1" applyAlignment="1">
      <alignment horizontal="center" vertical="top"/>
    </xf>
    <xf numFmtId="0" fontId="2" fillId="0" borderId="2" xfId="1" applyFont="1" applyFill="1" applyBorder="1" applyAlignment="1">
      <alignment horizontal="justify" vertical="top" wrapText="1"/>
    </xf>
    <xf numFmtId="0" fontId="1" fillId="0" borderId="0" xfId="1" applyFont="1" applyFill="1" applyAlignment="1">
      <alignment horizontal="center"/>
    </xf>
    <xf numFmtId="0" fontId="2" fillId="0" borderId="0" xfId="1" applyFont="1" applyFill="1" applyAlignment="1">
      <alignment horizontal="center"/>
    </xf>
    <xf numFmtId="0" fontId="2" fillId="0" borderId="0" xfId="1" applyFont="1" applyFill="1" applyAlignment="1">
      <alignment horizontal="center" vertical="top" wrapText="1"/>
    </xf>
    <xf numFmtId="0" fontId="6" fillId="0" borderId="0" xfId="1" applyFont="1" applyFill="1" applyBorder="1" applyAlignment="1">
      <alignment vertical="top"/>
    </xf>
    <xf numFmtId="2" fontId="6" fillId="0" borderId="0" xfId="1" applyNumberFormat="1" applyFont="1" applyFill="1" applyBorder="1" applyAlignment="1">
      <alignment vertical="top"/>
    </xf>
    <xf numFmtId="2" fontId="6" fillId="0" borderId="0" xfId="1" applyNumberFormat="1" applyFont="1" applyFill="1" applyBorder="1" applyAlignment="1">
      <alignment horizontal="right" vertical="top"/>
    </xf>
    <xf numFmtId="0" fontId="6" fillId="0" borderId="0" xfId="1" applyFont="1" applyFill="1" applyBorder="1" applyAlignment="1">
      <alignment horizontal="center" vertical="top"/>
    </xf>
    <xf numFmtId="0" fontId="6" fillId="0" borderId="0" xfId="1" applyNumberFormat="1" applyFont="1" applyFill="1" applyBorder="1" applyAlignment="1">
      <alignment horizontal="justify" vertical="top" wrapText="1"/>
    </xf>
    <xf numFmtId="0" fontId="6" fillId="0" borderId="0" xfId="1" applyFont="1" applyFill="1" applyBorder="1" applyAlignment="1">
      <alignment horizontal="left" vertical="top"/>
    </xf>
    <xf numFmtId="0" fontId="7" fillId="0" borderId="0" xfId="1" applyFont="1" applyFill="1" applyBorder="1" applyAlignment="1">
      <alignment horizontal="right" vertical="top"/>
    </xf>
    <xf numFmtId="0" fontId="6" fillId="0" borderId="0" xfId="1" applyFont="1" applyFill="1" applyAlignment="1">
      <alignment vertical="top"/>
    </xf>
    <xf numFmtId="0" fontId="7" fillId="0" borderId="0" xfId="1" applyFont="1" applyFill="1" applyAlignment="1">
      <alignment horizontal="center" vertical="top"/>
    </xf>
    <xf numFmtId="0" fontId="6" fillId="0" borderId="0" xfId="1" quotePrefix="1" applyFont="1" applyFill="1" applyBorder="1" applyAlignment="1">
      <alignment horizontal="center" vertical="top"/>
    </xf>
    <xf numFmtId="0" fontId="6" fillId="0" borderId="0" xfId="1" quotePrefix="1" applyFont="1" applyFill="1" applyBorder="1" applyAlignment="1">
      <alignment vertical="top"/>
    </xf>
    <xf numFmtId="2" fontId="6" fillId="0" borderId="0" xfId="1" applyNumberFormat="1" applyFont="1" applyFill="1" applyAlignment="1">
      <alignment horizontal="right" vertical="top"/>
    </xf>
    <xf numFmtId="0" fontId="6" fillId="0" borderId="0" xfId="1" quotePrefix="1" applyFont="1" applyFill="1" applyAlignment="1">
      <alignment horizontal="left" vertical="top"/>
    </xf>
    <xf numFmtId="2" fontId="6" fillId="0" borderId="0" xfId="1" applyNumberFormat="1" applyFont="1" applyFill="1" applyAlignment="1">
      <alignment vertical="top"/>
    </xf>
    <xf numFmtId="0" fontId="6" fillId="0" borderId="0" xfId="1" quotePrefix="1" applyFont="1" applyFill="1" applyBorder="1" applyAlignment="1">
      <alignment horizontal="left" vertical="top"/>
    </xf>
    <xf numFmtId="2" fontId="7" fillId="0" borderId="0" xfId="1" applyNumberFormat="1" applyFont="1" applyFill="1" applyBorder="1" applyAlignment="1">
      <alignment vertical="top"/>
    </xf>
    <xf numFmtId="2" fontId="6" fillId="0" borderId="0" xfId="1" applyNumberFormat="1" applyFont="1" applyFill="1" applyBorder="1" applyAlignment="1">
      <alignment horizontal="center" vertical="top"/>
    </xf>
    <xf numFmtId="0" fontId="6" fillId="0" borderId="0" xfId="1" quotePrefix="1" applyNumberFormat="1" applyFont="1" applyFill="1" applyBorder="1" applyAlignment="1">
      <alignment horizontal="justify" vertical="top" wrapText="1"/>
    </xf>
    <xf numFmtId="0" fontId="6" fillId="0" borderId="2" xfId="1" quotePrefix="1" applyFont="1" applyFill="1" applyBorder="1" applyAlignment="1">
      <alignment horizontal="left" vertical="top"/>
    </xf>
    <xf numFmtId="2" fontId="7" fillId="0" borderId="2" xfId="1" applyNumberFormat="1" applyFont="1" applyFill="1" applyBorder="1" applyAlignment="1">
      <alignment vertical="top"/>
    </xf>
    <xf numFmtId="0" fontId="6" fillId="0" borderId="2" xfId="1" quotePrefix="1" applyFont="1" applyFill="1" applyBorder="1" applyAlignment="1">
      <alignment vertical="top"/>
    </xf>
    <xf numFmtId="2" fontId="6" fillId="0" borderId="2" xfId="1" applyNumberFormat="1" applyFont="1" applyFill="1" applyBorder="1" applyAlignment="1">
      <alignment horizontal="right" vertical="top"/>
    </xf>
    <xf numFmtId="2" fontId="6" fillId="0" borderId="0" xfId="1" quotePrefix="1" applyNumberFormat="1" applyFont="1" applyFill="1" applyBorder="1" applyAlignment="1">
      <alignment horizontal="center" vertical="top"/>
    </xf>
    <xf numFmtId="2" fontId="6" fillId="0" borderId="0" xfId="1" applyNumberFormat="1" applyFont="1" applyFill="1" applyAlignment="1">
      <alignment horizontal="centerContinuous" vertical="top"/>
    </xf>
    <xf numFmtId="0" fontId="6" fillId="0" borderId="0" xfId="1" applyFont="1" applyFill="1" applyBorder="1" applyAlignment="1">
      <alignment horizontal="centerContinuous" vertical="top"/>
    </xf>
    <xf numFmtId="0" fontId="6" fillId="0" borderId="0" xfId="1" applyFont="1" applyFill="1" applyAlignment="1">
      <alignment horizontal="left" vertical="top"/>
    </xf>
    <xf numFmtId="0" fontId="6" fillId="0" borderId="1" xfId="1" applyFont="1" applyFill="1" applyBorder="1" applyAlignment="1">
      <alignment vertical="top"/>
    </xf>
    <xf numFmtId="2" fontId="6" fillId="0" borderId="1" xfId="1" applyNumberFormat="1" applyFont="1" applyFill="1" applyBorder="1" applyAlignment="1">
      <alignment vertical="top"/>
    </xf>
    <xf numFmtId="0" fontId="6" fillId="0" borderId="1" xfId="1" quotePrefix="1" applyFont="1" applyFill="1" applyBorder="1" applyAlignment="1">
      <alignment horizontal="left" vertical="top"/>
    </xf>
    <xf numFmtId="2" fontId="6" fillId="0" borderId="1" xfId="1" applyNumberFormat="1" applyFont="1" applyFill="1" applyBorder="1" applyAlignment="1">
      <alignment horizontal="right" vertical="top"/>
    </xf>
    <xf numFmtId="0" fontId="6" fillId="0" borderId="0" xfId="1" quotePrefix="1" applyFont="1" applyFill="1" applyAlignment="1">
      <alignment horizontal="centerContinuous" vertical="top"/>
    </xf>
    <xf numFmtId="1" fontId="6" fillId="0" borderId="0" xfId="1" applyNumberFormat="1" applyFont="1" applyFill="1" applyBorder="1" applyAlignment="1">
      <alignment horizontal="center" vertical="top"/>
    </xf>
    <xf numFmtId="0" fontId="6" fillId="0" borderId="2" xfId="1" applyFont="1" applyFill="1" applyBorder="1" applyAlignment="1">
      <alignment horizontal="left" vertical="top"/>
    </xf>
    <xf numFmtId="2" fontId="6" fillId="0" borderId="2" xfId="1" applyNumberFormat="1" applyFont="1" applyFill="1" applyBorder="1" applyAlignment="1">
      <alignment vertical="top"/>
    </xf>
    <xf numFmtId="0" fontId="6" fillId="0" borderId="2" xfId="1" applyFont="1" applyFill="1" applyBorder="1" applyAlignment="1">
      <alignment vertical="top"/>
    </xf>
    <xf numFmtId="0" fontId="6" fillId="0" borderId="0" xfId="1" applyFont="1" applyFill="1" applyBorder="1" applyAlignment="1">
      <alignment horizontal="justify" vertical="top" wrapText="1"/>
    </xf>
    <xf numFmtId="0" fontId="7" fillId="0" borderId="2" xfId="1" quotePrefix="1" applyFont="1" applyFill="1" applyBorder="1" applyAlignment="1">
      <alignment horizontal="left" vertical="top"/>
    </xf>
    <xf numFmtId="0" fontId="7" fillId="0" borderId="2" xfId="1" applyFont="1" applyFill="1" applyBorder="1" applyAlignment="1">
      <alignment vertical="top"/>
    </xf>
    <xf numFmtId="2" fontId="7" fillId="0" borderId="2" xfId="1" applyNumberFormat="1" applyFont="1" applyFill="1" applyBorder="1" applyAlignment="1">
      <alignment horizontal="right" vertical="top"/>
    </xf>
    <xf numFmtId="0" fontId="6" fillId="0" borderId="0" xfId="1" quotePrefix="1" applyFont="1" applyFill="1" applyBorder="1" applyAlignment="1">
      <alignment horizontal="right" vertical="top"/>
    </xf>
    <xf numFmtId="0" fontId="6" fillId="0" borderId="0" xfId="1" applyFont="1" applyFill="1" applyBorder="1" applyAlignment="1">
      <alignment horizontal="right" vertical="top"/>
    </xf>
    <xf numFmtId="2" fontId="2" fillId="0" borderId="0" xfId="1" applyNumberFormat="1" applyFont="1" applyFill="1" applyBorder="1" applyAlignment="1">
      <alignment vertical="top" wrapText="1"/>
    </xf>
    <xf numFmtId="0" fontId="2" fillId="0" borderId="0" xfId="1" applyFont="1" applyFill="1" applyBorder="1" applyAlignment="1">
      <alignment wrapText="1"/>
    </xf>
    <xf numFmtId="0" fontId="6" fillId="0" borderId="0" xfId="1" quotePrefix="1" applyFont="1" applyFill="1" applyBorder="1" applyAlignment="1">
      <alignment horizontal="left" vertical="top" wrapText="1"/>
    </xf>
    <xf numFmtId="2" fontId="7" fillId="0" borderId="0" xfId="1" applyNumberFormat="1" applyFont="1" applyFill="1" applyAlignment="1">
      <alignment vertical="top"/>
    </xf>
    <xf numFmtId="0" fontId="7" fillId="0" borderId="0" xfId="1" applyFont="1" applyFill="1" applyAlignment="1">
      <alignment vertical="top"/>
    </xf>
    <xf numFmtId="2" fontId="7" fillId="0" borderId="0" xfId="1" applyNumberFormat="1" applyFont="1" applyFill="1" applyAlignment="1">
      <alignment horizontal="center" vertical="top"/>
    </xf>
    <xf numFmtId="0" fontId="6" fillId="0" borderId="0" xfId="1" applyFont="1" applyFill="1" applyAlignment="1">
      <alignment horizontal="centerContinuous" vertical="top"/>
    </xf>
    <xf numFmtId="0" fontId="6" fillId="0" borderId="0" xfId="1" quotePrefix="1" applyFont="1" applyFill="1" applyAlignment="1">
      <alignment vertical="top"/>
    </xf>
    <xf numFmtId="1" fontId="6" fillId="0" borderId="0" xfId="1" applyNumberFormat="1" applyFont="1" applyFill="1" applyAlignment="1">
      <alignment horizontal="right" vertical="top"/>
    </xf>
    <xf numFmtId="0" fontId="6" fillId="0" borderId="0" xfId="1" applyNumberFormat="1" applyFont="1" applyFill="1" applyBorder="1" applyAlignment="1">
      <alignment vertical="top" wrapText="1"/>
    </xf>
    <xf numFmtId="2" fontId="6" fillId="0" borderId="0" xfId="1" applyNumberFormat="1" applyFont="1" applyFill="1" applyAlignment="1">
      <alignment horizontal="center" vertical="top"/>
    </xf>
    <xf numFmtId="0" fontId="7" fillId="0" borderId="2" xfId="1" applyFont="1" applyFill="1" applyBorder="1" applyAlignment="1">
      <alignment horizontal="left" vertical="top"/>
    </xf>
    <xf numFmtId="0" fontId="10" fillId="0" borderId="0" xfId="1" applyNumberFormat="1" applyFont="1" applyFill="1" applyBorder="1" applyAlignment="1">
      <alignment horizontal="justify" vertical="top" wrapText="1"/>
    </xf>
    <xf numFmtId="0" fontId="7" fillId="0" borderId="0" xfId="1" quotePrefix="1" applyFont="1" applyFill="1" applyAlignment="1">
      <alignment vertical="top"/>
    </xf>
    <xf numFmtId="2" fontId="7" fillId="0" borderId="0" xfId="1" quotePrefix="1" applyNumberFormat="1" applyFont="1" applyFill="1" applyAlignment="1">
      <alignment horizontal="left" vertical="top"/>
    </xf>
    <xf numFmtId="2" fontId="6" fillId="0" borderId="0" xfId="1" quotePrefix="1" applyNumberFormat="1" applyFont="1" applyFill="1" applyBorder="1" applyAlignment="1">
      <alignment horizontal="centerContinuous" vertical="top"/>
    </xf>
    <xf numFmtId="2" fontId="6" fillId="0" borderId="0" xfId="1" quotePrefix="1" applyNumberFormat="1" applyFont="1" applyFill="1" applyAlignment="1">
      <alignment horizontal="center" vertical="top"/>
    </xf>
    <xf numFmtId="2" fontId="6" fillId="0" borderId="2" xfId="1" quotePrefix="1" applyNumberFormat="1" applyFont="1" applyFill="1" applyBorder="1" applyAlignment="1">
      <alignment horizontal="center" vertical="top"/>
    </xf>
    <xf numFmtId="0" fontId="8" fillId="0" borderId="0" xfId="1" quotePrefix="1" applyNumberFormat="1" applyFont="1" applyFill="1" applyBorder="1" applyAlignment="1">
      <alignment horizontal="justify" vertical="top" wrapText="1"/>
    </xf>
    <xf numFmtId="0" fontId="9" fillId="0" borderId="0" xfId="1" applyNumberFormat="1" applyFont="1" applyFill="1" applyBorder="1" applyAlignment="1">
      <alignment horizontal="justify" vertical="top" wrapText="1"/>
    </xf>
    <xf numFmtId="1" fontId="6" fillId="0" borderId="0" xfId="1" applyNumberFormat="1" applyFont="1" applyFill="1" applyBorder="1" applyAlignment="1">
      <alignment vertical="top"/>
    </xf>
    <xf numFmtId="1" fontId="6" fillId="0" borderId="2" xfId="1" applyNumberFormat="1" applyFont="1" applyFill="1" applyBorder="1" applyAlignment="1">
      <alignment vertical="top"/>
    </xf>
    <xf numFmtId="1" fontId="6" fillId="0" borderId="0" xfId="1" applyNumberFormat="1" applyFont="1" applyFill="1" applyBorder="1" applyAlignment="1">
      <alignment horizontal="right" vertical="top"/>
    </xf>
    <xf numFmtId="2" fontId="6" fillId="0" borderId="0" xfId="1" applyNumberFormat="1" applyFont="1" applyFill="1" applyBorder="1" applyAlignment="1">
      <alignment horizontal="center" vertical="top"/>
    </xf>
    <xf numFmtId="0" fontId="2" fillId="0" borderId="0" xfId="1" applyFont="1" applyFill="1" applyBorder="1" applyAlignment="1">
      <alignment horizontal="center" vertical="top"/>
    </xf>
    <xf numFmtId="0" fontId="7" fillId="0" borderId="0" xfId="1" applyFont="1" applyFill="1" applyBorder="1" applyAlignment="1">
      <alignment horizontal="left" vertical="top"/>
    </xf>
    <xf numFmtId="0" fontId="7" fillId="0" borderId="0" xfId="1" applyFont="1" applyFill="1" applyBorder="1" applyAlignment="1">
      <alignment vertical="top"/>
    </xf>
    <xf numFmtId="2" fontId="7" fillId="0" borderId="0" xfId="1" applyNumberFormat="1" applyFont="1" applyFill="1" applyBorder="1" applyAlignment="1">
      <alignment horizontal="right" vertical="top"/>
    </xf>
    <xf numFmtId="0" fontId="6" fillId="0" borderId="0" xfId="1" applyFont="1" applyFill="1" applyAlignment="1">
      <alignment horizontal="right" vertical="top"/>
    </xf>
    <xf numFmtId="0" fontId="7" fillId="0" borderId="0" xfId="1" quotePrefix="1" applyFont="1" applyFill="1" applyBorder="1" applyAlignment="1">
      <alignment horizontal="left" vertical="top"/>
    </xf>
    <xf numFmtId="2" fontId="2" fillId="0" borderId="0" xfId="1" applyNumberFormat="1" applyFont="1" applyFill="1" applyBorder="1" applyAlignment="1">
      <alignment wrapText="1"/>
    </xf>
    <xf numFmtId="0" fontId="7" fillId="0" borderId="0" xfId="1" applyFont="1" applyFill="1" applyAlignment="1">
      <alignment horizontal="left" vertical="top"/>
    </xf>
    <xf numFmtId="0" fontId="6" fillId="0" borderId="0" xfId="1" applyFont="1" applyFill="1" applyAlignment="1">
      <alignment horizontal="center" vertical="top"/>
    </xf>
    <xf numFmtId="2" fontId="6" fillId="0" borderId="2" xfId="1" applyNumberFormat="1" applyFont="1" applyFill="1" applyBorder="1" applyAlignment="1">
      <alignment horizontal="center" vertical="top"/>
    </xf>
    <xf numFmtId="0" fontId="6" fillId="0" borderId="2" xfId="1" applyFont="1" applyFill="1" applyBorder="1" applyAlignment="1">
      <alignment horizontal="center" vertical="top"/>
    </xf>
    <xf numFmtId="0" fontId="6" fillId="0" borderId="0" xfId="1" applyFont="1" applyFill="1" applyAlignment="1">
      <alignment horizontal="center" vertical="top"/>
    </xf>
    <xf numFmtId="0" fontId="6" fillId="0" borderId="0" xfId="1" applyFont="1" applyFill="1" applyAlignment="1">
      <alignment horizontal="center" vertical="top" wrapText="1"/>
    </xf>
    <xf numFmtId="0" fontId="2" fillId="0" borderId="0" xfId="0" applyFont="1"/>
    <xf numFmtId="0" fontId="2" fillId="0" borderId="0" xfId="0" quotePrefix="1" applyFont="1" applyAlignment="1">
      <alignment horizontal="left" vertical="top" wrapText="1"/>
    </xf>
    <xf numFmtId="1" fontId="2" fillId="0" borderId="0" xfId="0" applyNumberFormat="1" applyFont="1" applyAlignment="1">
      <alignment horizontal="right" vertical="top"/>
    </xf>
    <xf numFmtId="2" fontId="2" fillId="0" borderId="0" xfId="0" applyNumberFormat="1" applyFont="1" applyAlignment="1">
      <alignment horizontal="right" vertical="top"/>
    </xf>
    <xf numFmtId="0" fontId="2" fillId="0" borderId="0" xfId="0" quotePrefix="1" applyFont="1" applyAlignment="1">
      <alignment horizontal="left" vertical="top" wrapText="1"/>
    </xf>
    <xf numFmtId="0" fontId="2" fillId="0" borderId="0" xfId="1" applyFont="1" applyFill="1" applyBorder="1" applyAlignment="1">
      <alignment horizontal="justify" vertical="top" wrapText="1"/>
    </xf>
    <xf numFmtId="0" fontId="2" fillId="0" borderId="3" xfId="1" applyFont="1" applyFill="1" applyBorder="1" applyAlignment="1">
      <alignment horizontal="left" vertical="top"/>
    </xf>
    <xf numFmtId="2" fontId="7" fillId="0" borderId="4" xfId="1" applyNumberFormat="1" applyFont="1" applyFill="1" applyBorder="1" applyAlignment="1">
      <alignment vertical="top"/>
    </xf>
    <xf numFmtId="0" fontId="6" fillId="0" borderId="5" xfId="1" applyFont="1" applyFill="1" applyBorder="1" applyAlignment="1">
      <alignment horizontal="center" vertical="top"/>
    </xf>
    <xf numFmtId="0" fontId="6" fillId="0" borderId="5" xfId="1" applyNumberFormat="1" applyFont="1" applyFill="1" applyBorder="1" applyAlignment="1">
      <alignment horizontal="center" vertical="top" wrapText="1"/>
    </xf>
    <xf numFmtId="0" fontId="8" fillId="0" borderId="0" xfId="1" applyNumberFormat="1" applyFont="1" applyFill="1" applyBorder="1" applyAlignment="1">
      <alignment horizontal="justify" vertical="top" wrapText="1"/>
    </xf>
    <xf numFmtId="0" fontId="7" fillId="0" borderId="0" xfId="1" applyNumberFormat="1" applyFont="1" applyFill="1" applyBorder="1" applyAlignment="1">
      <alignment horizontal="justify" vertical="top" wrapText="1"/>
    </xf>
    <xf numFmtId="0" fontId="2" fillId="0" borderId="0" xfId="0" applyFont="1" applyFill="1" applyBorder="1" applyAlignment="1">
      <alignment horizontal="justify" vertical="top" wrapText="1"/>
    </xf>
    <xf numFmtId="0" fontId="7" fillId="0" borderId="0" xfId="0" quotePrefix="1" applyFont="1" applyFill="1" applyBorder="1" applyAlignment="1">
      <alignment vertical="top"/>
    </xf>
    <xf numFmtId="2" fontId="7" fillId="0" borderId="0" xfId="0" quotePrefix="1" applyNumberFormat="1" applyFont="1" applyFill="1" applyBorder="1" applyAlignment="1">
      <alignment horizontal="left" vertical="top"/>
    </xf>
    <xf numFmtId="2" fontId="7" fillId="0" borderId="0" xfId="0" applyNumberFormat="1" applyFont="1" applyFill="1" applyBorder="1" applyAlignment="1">
      <alignment horizontal="center" vertical="top"/>
    </xf>
    <xf numFmtId="0" fontId="6" fillId="0" borderId="0" xfId="0" quotePrefix="1" applyFont="1" applyFill="1" applyBorder="1" applyAlignment="1">
      <alignment horizontal="centerContinuous" vertical="top"/>
    </xf>
    <xf numFmtId="0" fontId="7" fillId="0" borderId="0" xfId="0" applyFont="1" applyFill="1" applyBorder="1" applyAlignment="1">
      <alignment horizontal="center" vertical="top"/>
    </xf>
    <xf numFmtId="0" fontId="0" fillId="0" borderId="0" xfId="0" applyAlignment="1">
      <alignment horizontal="center"/>
    </xf>
    <xf numFmtId="2" fontId="0" fillId="0" borderId="0" xfId="0" applyNumberFormat="1" applyBorder="1"/>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32</xdr:row>
      <xdr:rowOff>0</xdr:rowOff>
    </xdr:from>
    <xdr:to>
      <xdr:col>2</xdr:col>
      <xdr:colOff>0</xdr:colOff>
      <xdr:row>32</xdr:row>
      <xdr:rowOff>0</xdr:rowOff>
    </xdr:to>
    <xdr:sp macro="" textlink="">
      <xdr:nvSpPr>
        <xdr:cNvPr id="1074" name="Text 50"/>
        <xdr:cNvSpPr txBox="1">
          <a:spLocks noChangeArrowheads="1"/>
        </xdr:cNvSpPr>
      </xdr:nvSpPr>
      <xdr:spPr bwMode="auto">
        <a:xfrm>
          <a:off x="314325" y="1155382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9525</xdr:colOff>
      <xdr:row>32</xdr:row>
      <xdr:rowOff>0</xdr:rowOff>
    </xdr:from>
    <xdr:to>
      <xdr:col>2</xdr:col>
      <xdr:colOff>9525</xdr:colOff>
      <xdr:row>32</xdr:row>
      <xdr:rowOff>0</xdr:rowOff>
    </xdr:to>
    <xdr:sp macro="" textlink="">
      <xdr:nvSpPr>
        <xdr:cNvPr id="1119" name="Text 9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9525</xdr:colOff>
      <xdr:row>32</xdr:row>
      <xdr:rowOff>0</xdr:rowOff>
    </xdr:from>
    <xdr:to>
      <xdr:col>2</xdr:col>
      <xdr:colOff>9525</xdr:colOff>
      <xdr:row>32</xdr:row>
      <xdr:rowOff>0</xdr:rowOff>
    </xdr:to>
    <xdr:sp macro="" textlink="">
      <xdr:nvSpPr>
        <xdr:cNvPr id="1139" name="Text 11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166</xdr:row>
      <xdr:rowOff>0</xdr:rowOff>
    </xdr:from>
    <xdr:to>
      <xdr:col>2</xdr:col>
      <xdr:colOff>0</xdr:colOff>
      <xdr:row>166</xdr:row>
      <xdr:rowOff>0</xdr:rowOff>
    </xdr:to>
    <xdr:sp macro="" textlink="">
      <xdr:nvSpPr>
        <xdr:cNvPr id="2088" name="Text 40"/>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166</xdr:row>
      <xdr:rowOff>0</xdr:rowOff>
    </xdr:from>
    <xdr:to>
      <xdr:col>2</xdr:col>
      <xdr:colOff>0</xdr:colOff>
      <xdr:row>166</xdr:row>
      <xdr:rowOff>0</xdr:rowOff>
    </xdr:to>
    <xdr:sp macro="" textlink="">
      <xdr:nvSpPr>
        <xdr:cNvPr id="2089" name="Text 41"/>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166</xdr:row>
      <xdr:rowOff>0</xdr:rowOff>
    </xdr:from>
    <xdr:to>
      <xdr:col>2</xdr:col>
      <xdr:colOff>9525</xdr:colOff>
      <xdr:row>166</xdr:row>
      <xdr:rowOff>0</xdr:rowOff>
    </xdr:to>
    <xdr:sp macro="" textlink="">
      <xdr:nvSpPr>
        <xdr:cNvPr id="2090" name="Text 42"/>
        <xdr:cNvSpPr txBox="1">
          <a:spLocks noChangeArrowheads="1"/>
        </xdr:cNvSpPr>
      </xdr:nvSpPr>
      <xdr:spPr bwMode="auto">
        <a:xfrm>
          <a:off x="295275" y="65655825"/>
          <a:ext cx="2838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166</xdr:row>
      <xdr:rowOff>0</xdr:rowOff>
    </xdr:from>
    <xdr:to>
      <xdr:col>2</xdr:col>
      <xdr:colOff>0</xdr:colOff>
      <xdr:row>166</xdr:row>
      <xdr:rowOff>0</xdr:rowOff>
    </xdr:to>
    <xdr:sp macro="" textlink="">
      <xdr:nvSpPr>
        <xdr:cNvPr id="2095" name="Text 47"/>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19050</xdr:colOff>
      <xdr:row>166</xdr:row>
      <xdr:rowOff>0</xdr:rowOff>
    </xdr:from>
    <xdr:to>
      <xdr:col>2</xdr:col>
      <xdr:colOff>0</xdr:colOff>
      <xdr:row>166</xdr:row>
      <xdr:rowOff>0</xdr:rowOff>
    </xdr:to>
    <xdr:sp macro="" textlink="">
      <xdr:nvSpPr>
        <xdr:cNvPr id="2097" name="Text 49"/>
        <xdr:cNvSpPr txBox="1">
          <a:spLocks noChangeArrowheads="1"/>
        </xdr:cNvSpPr>
      </xdr:nvSpPr>
      <xdr:spPr bwMode="auto">
        <a:xfrm>
          <a:off x="314325" y="65655825"/>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166</xdr:row>
      <xdr:rowOff>0</xdr:rowOff>
    </xdr:from>
    <xdr:to>
      <xdr:col>1</xdr:col>
      <xdr:colOff>2828925</xdr:colOff>
      <xdr:row>166</xdr:row>
      <xdr:rowOff>0</xdr:rowOff>
    </xdr:to>
    <xdr:sp macro="" textlink="">
      <xdr:nvSpPr>
        <xdr:cNvPr id="2098" name="Text 50"/>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166</xdr:row>
      <xdr:rowOff>0</xdr:rowOff>
    </xdr:from>
    <xdr:to>
      <xdr:col>2</xdr:col>
      <xdr:colOff>0</xdr:colOff>
      <xdr:row>166</xdr:row>
      <xdr:rowOff>0</xdr:rowOff>
    </xdr:to>
    <xdr:sp macro="" textlink="">
      <xdr:nvSpPr>
        <xdr:cNvPr id="2099" name="Text 51"/>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166</xdr:row>
      <xdr:rowOff>0</xdr:rowOff>
    </xdr:from>
    <xdr:to>
      <xdr:col>2</xdr:col>
      <xdr:colOff>0</xdr:colOff>
      <xdr:row>166</xdr:row>
      <xdr:rowOff>0</xdr:rowOff>
    </xdr:to>
    <xdr:sp macro="" textlink="">
      <xdr:nvSpPr>
        <xdr:cNvPr id="2100" name="Text 52"/>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176</xdr:row>
      <xdr:rowOff>0</xdr:rowOff>
    </xdr:from>
    <xdr:to>
      <xdr:col>2</xdr:col>
      <xdr:colOff>0</xdr:colOff>
      <xdr:row>176</xdr:row>
      <xdr:rowOff>0</xdr:rowOff>
    </xdr:to>
    <xdr:sp macro="" textlink="">
      <xdr:nvSpPr>
        <xdr:cNvPr id="2112" name="Text 64"/>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176</xdr:row>
      <xdr:rowOff>0</xdr:rowOff>
    </xdr:from>
    <xdr:to>
      <xdr:col>2</xdr:col>
      <xdr:colOff>0</xdr:colOff>
      <xdr:row>176</xdr:row>
      <xdr:rowOff>0</xdr:rowOff>
    </xdr:to>
    <xdr:sp macro="" textlink="">
      <xdr:nvSpPr>
        <xdr:cNvPr id="2116" name="Text 68"/>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176</xdr:row>
      <xdr:rowOff>0</xdr:rowOff>
    </xdr:from>
    <xdr:to>
      <xdr:col>2</xdr:col>
      <xdr:colOff>0</xdr:colOff>
      <xdr:row>176</xdr:row>
      <xdr:rowOff>0</xdr:rowOff>
    </xdr:to>
    <xdr:sp macro="" textlink="">
      <xdr:nvSpPr>
        <xdr:cNvPr id="2117" name="Text 6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xdr:col>
      <xdr:colOff>0</xdr:colOff>
      <xdr:row>176</xdr:row>
      <xdr:rowOff>0</xdr:rowOff>
    </xdr:from>
    <xdr:to>
      <xdr:col>2</xdr:col>
      <xdr:colOff>0</xdr:colOff>
      <xdr:row>176</xdr:row>
      <xdr:rowOff>0</xdr:rowOff>
    </xdr:to>
    <xdr:sp macro="" textlink="">
      <xdr:nvSpPr>
        <xdr:cNvPr id="2119" name="Text 7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176</xdr:row>
      <xdr:rowOff>0</xdr:rowOff>
    </xdr:from>
    <xdr:to>
      <xdr:col>1</xdr:col>
      <xdr:colOff>2828925</xdr:colOff>
      <xdr:row>176</xdr:row>
      <xdr:rowOff>0</xdr:rowOff>
    </xdr:to>
    <xdr:sp macro="" textlink="">
      <xdr:nvSpPr>
        <xdr:cNvPr id="2120" name="Text 7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176</xdr:row>
      <xdr:rowOff>0</xdr:rowOff>
    </xdr:from>
    <xdr:to>
      <xdr:col>2</xdr:col>
      <xdr:colOff>0</xdr:colOff>
      <xdr:row>176</xdr:row>
      <xdr:rowOff>0</xdr:rowOff>
    </xdr:to>
    <xdr:sp macro="" textlink="">
      <xdr:nvSpPr>
        <xdr:cNvPr id="2121" name="Text 7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176</xdr:row>
      <xdr:rowOff>0</xdr:rowOff>
    </xdr:from>
    <xdr:to>
      <xdr:col>2</xdr:col>
      <xdr:colOff>0</xdr:colOff>
      <xdr:row>176</xdr:row>
      <xdr:rowOff>0</xdr:rowOff>
    </xdr:to>
    <xdr:sp macro="" textlink="">
      <xdr:nvSpPr>
        <xdr:cNvPr id="2127" name="Text 7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 (Av.)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xdr:col>
      <xdr:colOff>0</xdr:colOff>
      <xdr:row>176</xdr:row>
      <xdr:rowOff>0</xdr:rowOff>
    </xdr:from>
    <xdr:to>
      <xdr:col>2</xdr:col>
      <xdr:colOff>0</xdr:colOff>
      <xdr:row>176</xdr:row>
      <xdr:rowOff>0</xdr:rowOff>
    </xdr:to>
    <xdr:sp macro="" textlink="">
      <xdr:nvSpPr>
        <xdr:cNvPr id="2129" name="Text 8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176</xdr:row>
      <xdr:rowOff>0</xdr:rowOff>
    </xdr:from>
    <xdr:to>
      <xdr:col>1</xdr:col>
      <xdr:colOff>2828925</xdr:colOff>
      <xdr:row>176</xdr:row>
      <xdr:rowOff>0</xdr:rowOff>
    </xdr:to>
    <xdr:sp macro="" textlink="">
      <xdr:nvSpPr>
        <xdr:cNvPr id="2130" name="Text 8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176</xdr:row>
      <xdr:rowOff>0</xdr:rowOff>
    </xdr:from>
    <xdr:to>
      <xdr:col>2</xdr:col>
      <xdr:colOff>0</xdr:colOff>
      <xdr:row>176</xdr:row>
      <xdr:rowOff>0</xdr:rowOff>
    </xdr:to>
    <xdr:sp macro="" textlink="">
      <xdr:nvSpPr>
        <xdr:cNvPr id="2131" name="Text 8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176</xdr:row>
      <xdr:rowOff>0</xdr:rowOff>
    </xdr:from>
    <xdr:to>
      <xdr:col>2</xdr:col>
      <xdr:colOff>0</xdr:colOff>
      <xdr:row>176</xdr:row>
      <xdr:rowOff>0</xdr:rowOff>
    </xdr:to>
    <xdr:sp macro="" textlink="">
      <xdr:nvSpPr>
        <xdr:cNvPr id="2204" name="Text 156"/>
        <xdr:cNvSpPr txBox="1">
          <a:spLocks noChangeArrowheads="1"/>
        </xdr:cNvSpPr>
      </xdr:nvSpPr>
      <xdr:spPr bwMode="auto">
        <a:xfrm>
          <a:off x="295275" y="701040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176</xdr:row>
      <xdr:rowOff>0</xdr:rowOff>
    </xdr:from>
    <xdr:to>
      <xdr:col>2</xdr:col>
      <xdr:colOff>0</xdr:colOff>
      <xdr:row>176</xdr:row>
      <xdr:rowOff>0</xdr:rowOff>
    </xdr:to>
    <xdr:sp macro="" textlink="">
      <xdr:nvSpPr>
        <xdr:cNvPr id="2205" name="Text 157"/>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193</xdr:row>
      <xdr:rowOff>0</xdr:rowOff>
    </xdr:from>
    <xdr:to>
      <xdr:col>2</xdr:col>
      <xdr:colOff>0</xdr:colOff>
      <xdr:row>193</xdr:row>
      <xdr:rowOff>0</xdr:rowOff>
    </xdr:to>
    <xdr:sp macro="" textlink="">
      <xdr:nvSpPr>
        <xdr:cNvPr id="2208" name="Text 160"/>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0</xdr:colOff>
      <xdr:row>193</xdr:row>
      <xdr:rowOff>0</xdr:rowOff>
    </xdr:from>
    <xdr:to>
      <xdr:col>2</xdr:col>
      <xdr:colOff>0</xdr:colOff>
      <xdr:row>193</xdr:row>
      <xdr:rowOff>0</xdr:rowOff>
    </xdr:to>
    <xdr:sp macro="" textlink="">
      <xdr:nvSpPr>
        <xdr:cNvPr id="2209" name="Text 161"/>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p>
      </xdr:txBody>
    </xdr:sp>
    <xdr:clientData/>
  </xdr:twoCellAnchor>
  <xdr:twoCellAnchor>
    <xdr:from>
      <xdr:col>12</xdr:col>
      <xdr:colOff>0</xdr:colOff>
      <xdr:row>112</xdr:row>
      <xdr:rowOff>0</xdr:rowOff>
    </xdr:from>
    <xdr:to>
      <xdr:col>12</xdr:col>
      <xdr:colOff>0</xdr:colOff>
      <xdr:row>112</xdr:row>
      <xdr:rowOff>0</xdr:rowOff>
    </xdr:to>
    <xdr:sp macro="" textlink="">
      <xdr:nvSpPr>
        <xdr:cNvPr id="2509" name="Text 143"/>
        <xdr:cNvSpPr txBox="1">
          <a:spLocks noChangeArrowheads="1"/>
        </xdr:cNvSpPr>
      </xdr:nvSpPr>
      <xdr:spPr bwMode="auto">
        <a:xfrm>
          <a:off x="7562850" y="444246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xdr:col>
      <xdr:colOff>0</xdr:colOff>
      <xdr:row>194</xdr:row>
      <xdr:rowOff>0</xdr:rowOff>
    </xdr:from>
    <xdr:to>
      <xdr:col>2</xdr:col>
      <xdr:colOff>0</xdr:colOff>
      <xdr:row>194</xdr:row>
      <xdr:rowOff>0</xdr:rowOff>
    </xdr:to>
    <xdr:sp macro="" textlink="">
      <xdr:nvSpPr>
        <xdr:cNvPr id="2920" name="Text 85"/>
        <xdr:cNvSpPr txBox="1">
          <a:spLocks noChangeArrowheads="1"/>
        </xdr:cNvSpPr>
      </xdr:nvSpPr>
      <xdr:spPr bwMode="auto">
        <a:xfrm>
          <a:off x="295275" y="962310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9525</xdr:colOff>
      <xdr:row>196</xdr:row>
      <xdr:rowOff>0</xdr:rowOff>
    </xdr:from>
    <xdr:to>
      <xdr:col>2</xdr:col>
      <xdr:colOff>9525</xdr:colOff>
      <xdr:row>196</xdr:row>
      <xdr:rowOff>0</xdr:rowOff>
    </xdr:to>
    <xdr:sp macro="" textlink="">
      <xdr:nvSpPr>
        <xdr:cNvPr id="2924" name="Text 87"/>
        <xdr:cNvSpPr txBox="1">
          <a:spLocks noChangeArrowheads="1"/>
        </xdr:cNvSpPr>
      </xdr:nvSpPr>
      <xdr:spPr bwMode="auto">
        <a:xfrm>
          <a:off x="304800" y="978217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196</xdr:row>
      <xdr:rowOff>0</xdr:rowOff>
    </xdr:from>
    <xdr:to>
      <xdr:col>2</xdr:col>
      <xdr:colOff>9525</xdr:colOff>
      <xdr:row>196</xdr:row>
      <xdr:rowOff>0</xdr:rowOff>
    </xdr:to>
    <xdr:sp macro="" textlink="">
      <xdr:nvSpPr>
        <xdr:cNvPr id="170943" name="Text 88"/>
        <xdr:cNvSpPr txBox="1">
          <a:spLocks noChangeArrowheads="1"/>
        </xdr:cNvSpPr>
      </xdr:nvSpPr>
      <xdr:spPr bwMode="auto">
        <a:xfrm>
          <a:off x="304800" y="156038550"/>
          <a:ext cx="282892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12</xdr:col>
      <xdr:colOff>0</xdr:colOff>
      <xdr:row>17</xdr:row>
      <xdr:rowOff>0</xdr:rowOff>
    </xdr:from>
    <xdr:to>
      <xdr:col>12</xdr:col>
      <xdr:colOff>0</xdr:colOff>
      <xdr:row>17</xdr:row>
      <xdr:rowOff>0</xdr:rowOff>
    </xdr:to>
    <xdr:sp macro="" textlink="#REF!">
      <xdr:nvSpPr>
        <xdr:cNvPr id="293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33C907C4-545D-419A-AA17-9C2605A5413A}"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
      <xdr:nvSpPr>
        <xdr:cNvPr id="2940"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295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050572C-5EF3-449B-B874-FBFBA8FE3601}"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
      <xdr:nvSpPr>
        <xdr:cNvPr id="2959"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296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E1887A5C-F953-4A2E-BB12-8914DD439528}"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24863"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0FA048FC-0109-4775-9C53-EF44906677A1}"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24864"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30A197E8-3A7C-4CCE-B776-059A33CA0EEB}"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24865"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E4271E8A-4C79-48E6-8EE3-1E6F928C814B}"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24866"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466E8BB6-0C75-4E38-BC1B-9B9B9DCE645C}"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2486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B4656138-0BE5-43AF-BC45-4DF5DBD8FF4C}" type="TxLink">
            <a:rPr lang="en-US"/>
            <a:pPr/>
            <a:t>​</a:t>
          </a:fld>
          <a:endParaRPr lang="en-US"/>
        </a:p>
      </xdr:txBody>
    </xdr:sp>
    <xdr:clientData/>
  </xdr:twoCellAnchor>
  <xdr:twoCellAnchor>
    <xdr:from>
      <xdr:col>12</xdr:col>
      <xdr:colOff>0</xdr:colOff>
      <xdr:row>113</xdr:row>
      <xdr:rowOff>0</xdr:rowOff>
    </xdr:from>
    <xdr:to>
      <xdr:col>12</xdr:col>
      <xdr:colOff>0</xdr:colOff>
      <xdr:row>113</xdr:row>
      <xdr:rowOff>0</xdr:rowOff>
    </xdr:to>
    <xdr:sp macro="" textlink="">
      <xdr:nvSpPr>
        <xdr:cNvPr id="24942" name="Text 143"/>
        <xdr:cNvSpPr txBox="1">
          <a:spLocks noChangeArrowheads="1"/>
        </xdr:cNvSpPr>
      </xdr:nvSpPr>
      <xdr:spPr bwMode="auto">
        <a:xfrm>
          <a:off x="7562850" y="44624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10</xdr:row>
      <xdr:rowOff>0</xdr:rowOff>
    </xdr:from>
    <xdr:to>
      <xdr:col>12</xdr:col>
      <xdr:colOff>0</xdr:colOff>
      <xdr:row>11</xdr:row>
      <xdr:rowOff>0</xdr:rowOff>
    </xdr:to>
    <xdr:sp macro="" textlink="#REF!">
      <xdr:nvSpPr>
        <xdr:cNvPr id="25860" name="Text 112"/>
        <xdr:cNvSpPr txBox="1">
          <a:spLocks noChangeArrowheads="1"/>
        </xdr:cNvSpPr>
      </xdr:nvSpPr>
      <xdr:spPr bwMode="auto">
        <a:xfrm>
          <a:off x="7562850" y="3162300"/>
          <a:ext cx="0" cy="190500"/>
        </a:xfrm>
        <a:prstGeom prst="rect">
          <a:avLst/>
        </a:prstGeom>
        <a:solidFill>
          <a:srgbClr val="FFFFFF"/>
        </a:solidFill>
        <a:ln w="1">
          <a:noFill/>
          <a:miter lim="800000"/>
          <a:headEnd/>
          <a:tailEnd/>
        </a:ln>
      </xdr:spPr>
      <xdr:txBody>
        <a:bodyPr/>
        <a:lstStyle/>
        <a:p>
          <a:fld id="{6F7A48CF-E42C-4F81-8E72-B5F48F320713}"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25861"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31331DB-1AF5-4542-9EE5-FFA11208482F}" type="TxLink">
            <a:rPr lang="en-US"/>
            <a:pPr/>
            <a:t>​</a:t>
          </a:fld>
          <a:endParaRPr lang="en-US"/>
        </a:p>
      </xdr:txBody>
    </xdr:sp>
    <xdr:clientData/>
  </xdr:twoCellAnchor>
  <xdr:twoCellAnchor>
    <xdr:from>
      <xdr:col>12</xdr:col>
      <xdr:colOff>0</xdr:colOff>
      <xdr:row>14</xdr:row>
      <xdr:rowOff>0</xdr:rowOff>
    </xdr:from>
    <xdr:to>
      <xdr:col>12</xdr:col>
      <xdr:colOff>0</xdr:colOff>
      <xdr:row>15</xdr:row>
      <xdr:rowOff>0</xdr:rowOff>
    </xdr:to>
    <xdr:sp macro="" textlink="#REF!">
      <xdr:nvSpPr>
        <xdr:cNvPr id="1618" name="Text 112"/>
        <xdr:cNvSpPr txBox="1">
          <a:spLocks noChangeArrowheads="1"/>
        </xdr:cNvSpPr>
      </xdr:nvSpPr>
      <xdr:spPr bwMode="auto">
        <a:xfrm>
          <a:off x="7572375" y="4127500"/>
          <a:ext cx="0" cy="190500"/>
        </a:xfrm>
        <a:prstGeom prst="rect">
          <a:avLst/>
        </a:prstGeom>
        <a:solidFill>
          <a:srgbClr val="FFFFFF"/>
        </a:solidFill>
        <a:ln w="1">
          <a:noFill/>
          <a:miter lim="800000"/>
          <a:headEnd/>
          <a:tailEnd/>
        </a:ln>
      </xdr:spPr>
      <xdr:txBody>
        <a:bodyPr/>
        <a:lstStyle/>
        <a:p>
          <a:fld id="{C062AD4D-9FFE-46FE-8497-FE0E5D2551D7}" type="TxLink">
            <a:rPr lang="en-US"/>
            <a:pPr/>
            <a:t>​</a:t>
          </a:fld>
          <a:endParaRPr lang="en-US"/>
        </a:p>
      </xdr:txBody>
    </xdr:sp>
    <xdr:clientData/>
  </xdr:twoCellAnchor>
  <xdr:twoCellAnchor>
    <xdr:from>
      <xdr:col>1</xdr:col>
      <xdr:colOff>0</xdr:colOff>
      <xdr:row>87</xdr:row>
      <xdr:rowOff>0</xdr:rowOff>
    </xdr:from>
    <xdr:to>
      <xdr:col>2</xdr:col>
      <xdr:colOff>0</xdr:colOff>
      <xdr:row>87</xdr:row>
      <xdr:rowOff>0</xdr:rowOff>
    </xdr:to>
    <xdr:sp macro="" textlink="">
      <xdr:nvSpPr>
        <xdr:cNvPr id="1677" name="Text 148"/>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87</xdr:row>
      <xdr:rowOff>0</xdr:rowOff>
    </xdr:from>
    <xdr:to>
      <xdr:col>2</xdr:col>
      <xdr:colOff>0</xdr:colOff>
      <xdr:row>87</xdr:row>
      <xdr:rowOff>0</xdr:rowOff>
    </xdr:to>
    <xdr:sp macro="" textlink="">
      <xdr:nvSpPr>
        <xdr:cNvPr id="1678" name="Text 149"/>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87</xdr:row>
      <xdr:rowOff>0</xdr:rowOff>
    </xdr:from>
    <xdr:to>
      <xdr:col>2</xdr:col>
      <xdr:colOff>0</xdr:colOff>
      <xdr:row>87</xdr:row>
      <xdr:rowOff>0</xdr:rowOff>
    </xdr:to>
    <xdr:sp macro="" textlink="">
      <xdr:nvSpPr>
        <xdr:cNvPr id="1679" name="Text 152"/>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87</xdr:row>
      <xdr:rowOff>0</xdr:rowOff>
    </xdr:from>
    <xdr:to>
      <xdr:col>2</xdr:col>
      <xdr:colOff>0</xdr:colOff>
      <xdr:row>87</xdr:row>
      <xdr:rowOff>0</xdr:rowOff>
    </xdr:to>
    <xdr:sp macro="" textlink="">
      <xdr:nvSpPr>
        <xdr:cNvPr id="1770" name="Text 65"/>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87</xdr:row>
      <xdr:rowOff>0</xdr:rowOff>
    </xdr:from>
    <xdr:to>
      <xdr:col>1</xdr:col>
      <xdr:colOff>2828925</xdr:colOff>
      <xdr:row>87</xdr:row>
      <xdr:rowOff>0</xdr:rowOff>
    </xdr:to>
    <xdr:sp macro="" textlink="">
      <xdr:nvSpPr>
        <xdr:cNvPr id="1771" name="Text 71"/>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87</xdr:row>
      <xdr:rowOff>0</xdr:rowOff>
    </xdr:from>
    <xdr:to>
      <xdr:col>2</xdr:col>
      <xdr:colOff>0</xdr:colOff>
      <xdr:row>87</xdr:row>
      <xdr:rowOff>0</xdr:rowOff>
    </xdr:to>
    <xdr:sp macro="" textlink="">
      <xdr:nvSpPr>
        <xdr:cNvPr id="1772" name="Text 74"/>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49" name="Text 112"/>
        <xdr:cNvSpPr txBox="1">
          <a:spLocks noChangeArrowheads="1"/>
        </xdr:cNvSpPr>
      </xdr:nvSpPr>
      <xdr:spPr bwMode="auto">
        <a:xfrm>
          <a:off x="6848475" y="3543300"/>
          <a:ext cx="0" cy="0"/>
        </a:xfrm>
        <a:prstGeom prst="rect">
          <a:avLst/>
        </a:prstGeom>
        <a:solidFill>
          <a:srgbClr val="FFFFFF"/>
        </a:solidFill>
        <a:ln w="1">
          <a:noFill/>
          <a:miter lim="800000"/>
          <a:headEnd/>
          <a:tailEnd/>
        </a:ln>
      </xdr:spPr>
      <xdr:txBody>
        <a:bodyPr/>
        <a:lstStyle/>
        <a:p>
          <a:fld id="{33C907C4-545D-419A-AA17-9C2605A5413A}"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
      <xdr:nvSpPr>
        <xdr:cNvPr id="50" name="Text 113"/>
        <xdr:cNvSpPr txBox="1">
          <a:spLocks noChangeArrowheads="1"/>
        </xdr:cNvSpPr>
      </xdr:nvSpPr>
      <xdr:spPr bwMode="auto">
        <a:xfrm>
          <a:off x="6848475" y="35433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1" name="Text 112"/>
        <xdr:cNvSpPr txBox="1">
          <a:spLocks noChangeArrowheads="1"/>
        </xdr:cNvSpPr>
      </xdr:nvSpPr>
      <xdr:spPr bwMode="auto">
        <a:xfrm>
          <a:off x="6848475" y="3543300"/>
          <a:ext cx="0" cy="0"/>
        </a:xfrm>
        <a:prstGeom prst="rect">
          <a:avLst/>
        </a:prstGeom>
        <a:solidFill>
          <a:srgbClr val="FFFFFF"/>
        </a:solidFill>
        <a:ln w="1">
          <a:noFill/>
          <a:miter lim="800000"/>
          <a:headEnd/>
          <a:tailEnd/>
        </a:ln>
      </xdr:spPr>
      <xdr:txBody>
        <a:bodyPr/>
        <a:lstStyle/>
        <a:p>
          <a:fld id="{6050572C-5EF3-449B-B874-FBFBA8FE3601}"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
      <xdr:nvSpPr>
        <xdr:cNvPr id="52" name="Text 113"/>
        <xdr:cNvSpPr txBox="1">
          <a:spLocks noChangeArrowheads="1"/>
        </xdr:cNvSpPr>
      </xdr:nvSpPr>
      <xdr:spPr bwMode="auto">
        <a:xfrm>
          <a:off x="6848475" y="35433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3" name="Text 112"/>
        <xdr:cNvSpPr txBox="1">
          <a:spLocks noChangeArrowheads="1"/>
        </xdr:cNvSpPr>
      </xdr:nvSpPr>
      <xdr:spPr bwMode="auto">
        <a:xfrm>
          <a:off x="6848475" y="3543300"/>
          <a:ext cx="0" cy="0"/>
        </a:xfrm>
        <a:prstGeom prst="rect">
          <a:avLst/>
        </a:prstGeom>
        <a:solidFill>
          <a:srgbClr val="FFFFFF"/>
        </a:solidFill>
        <a:ln w="1">
          <a:noFill/>
          <a:miter lim="800000"/>
          <a:headEnd/>
          <a:tailEnd/>
        </a:ln>
      </xdr:spPr>
      <xdr:txBody>
        <a:bodyPr/>
        <a:lstStyle/>
        <a:p>
          <a:fld id="{E1887A5C-F953-4A2E-BB12-8914DD439528}"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4" name="Text 112"/>
        <xdr:cNvSpPr txBox="1">
          <a:spLocks noChangeArrowheads="1"/>
        </xdr:cNvSpPr>
      </xdr:nvSpPr>
      <xdr:spPr bwMode="auto">
        <a:xfrm>
          <a:off x="6848475" y="3543300"/>
          <a:ext cx="0" cy="0"/>
        </a:xfrm>
        <a:prstGeom prst="rect">
          <a:avLst/>
        </a:prstGeom>
        <a:solidFill>
          <a:srgbClr val="FFFFFF"/>
        </a:solidFill>
        <a:ln w="1">
          <a:noFill/>
          <a:miter lim="800000"/>
          <a:headEnd/>
          <a:tailEnd/>
        </a:ln>
      </xdr:spPr>
      <xdr:txBody>
        <a:bodyPr/>
        <a:lstStyle/>
        <a:p>
          <a:fld id="{0FA048FC-0109-4775-9C53-EF44906677A1}"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5" name="Text 112"/>
        <xdr:cNvSpPr txBox="1">
          <a:spLocks noChangeArrowheads="1"/>
        </xdr:cNvSpPr>
      </xdr:nvSpPr>
      <xdr:spPr bwMode="auto">
        <a:xfrm>
          <a:off x="6848475" y="3543300"/>
          <a:ext cx="0" cy="0"/>
        </a:xfrm>
        <a:prstGeom prst="rect">
          <a:avLst/>
        </a:prstGeom>
        <a:solidFill>
          <a:srgbClr val="FFFFFF"/>
        </a:solidFill>
        <a:ln w="1">
          <a:noFill/>
          <a:miter lim="800000"/>
          <a:headEnd/>
          <a:tailEnd/>
        </a:ln>
      </xdr:spPr>
      <xdr:txBody>
        <a:bodyPr/>
        <a:lstStyle/>
        <a:p>
          <a:fld id="{30A197E8-3A7C-4CCE-B776-059A33CA0EEB}"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6" name="Text 112"/>
        <xdr:cNvSpPr txBox="1">
          <a:spLocks noChangeArrowheads="1"/>
        </xdr:cNvSpPr>
      </xdr:nvSpPr>
      <xdr:spPr bwMode="auto">
        <a:xfrm>
          <a:off x="6848475" y="3543300"/>
          <a:ext cx="0" cy="0"/>
        </a:xfrm>
        <a:prstGeom prst="rect">
          <a:avLst/>
        </a:prstGeom>
        <a:solidFill>
          <a:srgbClr val="FFFFFF"/>
        </a:solidFill>
        <a:ln w="1">
          <a:noFill/>
          <a:miter lim="800000"/>
          <a:headEnd/>
          <a:tailEnd/>
        </a:ln>
      </xdr:spPr>
      <xdr:txBody>
        <a:bodyPr/>
        <a:lstStyle/>
        <a:p>
          <a:fld id="{E4271E8A-4C79-48E6-8EE3-1E6F928C814B}"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7" name="Text 112"/>
        <xdr:cNvSpPr txBox="1">
          <a:spLocks noChangeArrowheads="1"/>
        </xdr:cNvSpPr>
      </xdr:nvSpPr>
      <xdr:spPr bwMode="auto">
        <a:xfrm>
          <a:off x="6848475" y="3543300"/>
          <a:ext cx="0" cy="0"/>
        </a:xfrm>
        <a:prstGeom prst="rect">
          <a:avLst/>
        </a:prstGeom>
        <a:solidFill>
          <a:srgbClr val="FFFFFF"/>
        </a:solidFill>
        <a:ln w="1">
          <a:noFill/>
          <a:miter lim="800000"/>
          <a:headEnd/>
          <a:tailEnd/>
        </a:ln>
      </xdr:spPr>
      <xdr:txBody>
        <a:bodyPr/>
        <a:lstStyle/>
        <a:p>
          <a:fld id="{466E8BB6-0C75-4E38-BC1B-9B9B9DCE645C}"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8" name="Text 112"/>
        <xdr:cNvSpPr txBox="1">
          <a:spLocks noChangeArrowheads="1"/>
        </xdr:cNvSpPr>
      </xdr:nvSpPr>
      <xdr:spPr bwMode="auto">
        <a:xfrm>
          <a:off x="6848475" y="3543300"/>
          <a:ext cx="0" cy="0"/>
        </a:xfrm>
        <a:prstGeom prst="rect">
          <a:avLst/>
        </a:prstGeom>
        <a:solidFill>
          <a:srgbClr val="FFFFFF"/>
        </a:solidFill>
        <a:ln w="1">
          <a:noFill/>
          <a:miter lim="800000"/>
          <a:headEnd/>
          <a:tailEnd/>
        </a:ln>
      </xdr:spPr>
      <xdr:txBody>
        <a:bodyPr/>
        <a:lstStyle/>
        <a:p>
          <a:fld id="{B4656138-0BE5-43AF-BC45-4DF5DBD8FF4C}"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9" name="Text 112"/>
        <xdr:cNvSpPr txBox="1">
          <a:spLocks noChangeArrowheads="1"/>
        </xdr:cNvSpPr>
      </xdr:nvSpPr>
      <xdr:spPr bwMode="auto">
        <a:xfrm>
          <a:off x="6848475" y="3543300"/>
          <a:ext cx="0" cy="0"/>
        </a:xfrm>
        <a:prstGeom prst="rect">
          <a:avLst/>
        </a:prstGeom>
        <a:solidFill>
          <a:srgbClr val="FFFFFF"/>
        </a:solidFill>
        <a:ln w="1">
          <a:noFill/>
          <a:miter lim="800000"/>
          <a:headEnd/>
          <a:tailEnd/>
        </a:ln>
      </xdr:spPr>
      <xdr:txBody>
        <a:bodyPr/>
        <a:lstStyle/>
        <a:p>
          <a:fld id="{631331DB-1AF5-4542-9EE5-FFA11208482F}" type="TxLink">
            <a:rPr lang="en-US"/>
            <a:pPr/>
            <a:t>​</a:t>
          </a:fld>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21</xdr:row>
      <xdr:rowOff>0</xdr:rowOff>
    </xdr:from>
    <xdr:to>
      <xdr:col>2</xdr:col>
      <xdr:colOff>0</xdr:colOff>
      <xdr:row>21</xdr:row>
      <xdr:rowOff>0</xdr:rowOff>
    </xdr:to>
    <xdr:sp macro="" textlink="">
      <xdr:nvSpPr>
        <xdr:cNvPr id="2" name="Text 50"/>
        <xdr:cNvSpPr txBox="1">
          <a:spLocks noChangeArrowheads="1"/>
        </xdr:cNvSpPr>
      </xdr:nvSpPr>
      <xdr:spPr bwMode="auto">
        <a:xfrm>
          <a:off x="762000" y="6096000"/>
          <a:ext cx="7620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9525</xdr:colOff>
      <xdr:row>21</xdr:row>
      <xdr:rowOff>0</xdr:rowOff>
    </xdr:from>
    <xdr:to>
      <xdr:col>2</xdr:col>
      <xdr:colOff>9525</xdr:colOff>
      <xdr:row>21</xdr:row>
      <xdr:rowOff>0</xdr:rowOff>
    </xdr:to>
    <xdr:sp macro="" textlink="">
      <xdr:nvSpPr>
        <xdr:cNvPr id="3" name="Text 95"/>
        <xdr:cNvSpPr txBox="1">
          <a:spLocks noChangeArrowheads="1"/>
        </xdr:cNvSpPr>
      </xdr:nvSpPr>
      <xdr:spPr bwMode="auto">
        <a:xfrm>
          <a:off x="771525" y="6096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9525</xdr:colOff>
      <xdr:row>21</xdr:row>
      <xdr:rowOff>0</xdr:rowOff>
    </xdr:from>
    <xdr:to>
      <xdr:col>2</xdr:col>
      <xdr:colOff>9525</xdr:colOff>
      <xdr:row>21</xdr:row>
      <xdr:rowOff>0</xdr:rowOff>
    </xdr:to>
    <xdr:sp macro="" textlink="">
      <xdr:nvSpPr>
        <xdr:cNvPr id="4" name="Text 115"/>
        <xdr:cNvSpPr txBox="1">
          <a:spLocks noChangeArrowheads="1"/>
        </xdr:cNvSpPr>
      </xdr:nvSpPr>
      <xdr:spPr bwMode="auto">
        <a:xfrm>
          <a:off x="771525" y="6096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161</xdr:row>
      <xdr:rowOff>0</xdr:rowOff>
    </xdr:from>
    <xdr:to>
      <xdr:col>2</xdr:col>
      <xdr:colOff>0</xdr:colOff>
      <xdr:row>161</xdr:row>
      <xdr:rowOff>0</xdr:rowOff>
    </xdr:to>
    <xdr:sp macro="" textlink="">
      <xdr:nvSpPr>
        <xdr:cNvPr id="2" name="Text 40"/>
        <xdr:cNvSpPr txBox="1">
          <a:spLocks noChangeArrowheads="1"/>
        </xdr:cNvSpPr>
      </xdr:nvSpPr>
      <xdr:spPr bwMode="auto">
        <a:xfrm>
          <a:off x="762000" y="31623000"/>
          <a:ext cx="7620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161</xdr:row>
      <xdr:rowOff>0</xdr:rowOff>
    </xdr:from>
    <xdr:to>
      <xdr:col>2</xdr:col>
      <xdr:colOff>0</xdr:colOff>
      <xdr:row>161</xdr:row>
      <xdr:rowOff>0</xdr:rowOff>
    </xdr:to>
    <xdr:sp macro="" textlink="">
      <xdr:nvSpPr>
        <xdr:cNvPr id="3" name="Text 41"/>
        <xdr:cNvSpPr txBox="1">
          <a:spLocks noChangeArrowheads="1"/>
        </xdr:cNvSpPr>
      </xdr:nvSpPr>
      <xdr:spPr bwMode="auto">
        <a:xfrm>
          <a:off x="762000" y="31623000"/>
          <a:ext cx="7620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161</xdr:row>
      <xdr:rowOff>0</xdr:rowOff>
    </xdr:from>
    <xdr:to>
      <xdr:col>2</xdr:col>
      <xdr:colOff>9525</xdr:colOff>
      <xdr:row>161</xdr:row>
      <xdr:rowOff>0</xdr:rowOff>
    </xdr:to>
    <xdr:sp macro="" textlink="">
      <xdr:nvSpPr>
        <xdr:cNvPr id="4" name="Text 42"/>
        <xdr:cNvSpPr txBox="1">
          <a:spLocks noChangeArrowheads="1"/>
        </xdr:cNvSpPr>
      </xdr:nvSpPr>
      <xdr:spPr bwMode="auto">
        <a:xfrm>
          <a:off x="714375" y="31623000"/>
          <a:ext cx="8191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161</xdr:row>
      <xdr:rowOff>0</xdr:rowOff>
    </xdr:from>
    <xdr:to>
      <xdr:col>2</xdr:col>
      <xdr:colOff>0</xdr:colOff>
      <xdr:row>161</xdr:row>
      <xdr:rowOff>0</xdr:rowOff>
    </xdr:to>
    <xdr:sp macro="" textlink="">
      <xdr:nvSpPr>
        <xdr:cNvPr id="5" name="Text 47"/>
        <xdr:cNvSpPr txBox="1">
          <a:spLocks noChangeArrowheads="1"/>
        </xdr:cNvSpPr>
      </xdr:nvSpPr>
      <xdr:spPr bwMode="auto">
        <a:xfrm>
          <a:off x="762000" y="31623000"/>
          <a:ext cx="7620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19050</xdr:colOff>
      <xdr:row>161</xdr:row>
      <xdr:rowOff>0</xdr:rowOff>
    </xdr:from>
    <xdr:to>
      <xdr:col>2</xdr:col>
      <xdr:colOff>0</xdr:colOff>
      <xdr:row>161</xdr:row>
      <xdr:rowOff>0</xdr:rowOff>
    </xdr:to>
    <xdr:sp macro="" textlink="">
      <xdr:nvSpPr>
        <xdr:cNvPr id="6" name="Text 49"/>
        <xdr:cNvSpPr txBox="1">
          <a:spLocks noChangeArrowheads="1"/>
        </xdr:cNvSpPr>
      </xdr:nvSpPr>
      <xdr:spPr bwMode="auto">
        <a:xfrm>
          <a:off x="781050" y="31623000"/>
          <a:ext cx="7429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161</xdr:row>
      <xdr:rowOff>0</xdr:rowOff>
    </xdr:from>
    <xdr:to>
      <xdr:col>1</xdr:col>
      <xdr:colOff>2828925</xdr:colOff>
      <xdr:row>161</xdr:row>
      <xdr:rowOff>0</xdr:rowOff>
    </xdr:to>
    <xdr:sp macro="" textlink="">
      <xdr:nvSpPr>
        <xdr:cNvPr id="7" name="Text 50"/>
        <xdr:cNvSpPr txBox="1">
          <a:spLocks noChangeArrowheads="1"/>
        </xdr:cNvSpPr>
      </xdr:nvSpPr>
      <xdr:spPr bwMode="auto">
        <a:xfrm>
          <a:off x="762000" y="31623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161</xdr:row>
      <xdr:rowOff>0</xdr:rowOff>
    </xdr:from>
    <xdr:to>
      <xdr:col>2</xdr:col>
      <xdr:colOff>0</xdr:colOff>
      <xdr:row>161</xdr:row>
      <xdr:rowOff>0</xdr:rowOff>
    </xdr:to>
    <xdr:sp macro="" textlink="">
      <xdr:nvSpPr>
        <xdr:cNvPr id="8" name="Text 51"/>
        <xdr:cNvSpPr txBox="1">
          <a:spLocks noChangeArrowheads="1"/>
        </xdr:cNvSpPr>
      </xdr:nvSpPr>
      <xdr:spPr bwMode="auto">
        <a:xfrm>
          <a:off x="762000" y="31623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161</xdr:row>
      <xdr:rowOff>0</xdr:rowOff>
    </xdr:from>
    <xdr:to>
      <xdr:col>2</xdr:col>
      <xdr:colOff>0</xdr:colOff>
      <xdr:row>161</xdr:row>
      <xdr:rowOff>0</xdr:rowOff>
    </xdr:to>
    <xdr:sp macro="" textlink="">
      <xdr:nvSpPr>
        <xdr:cNvPr id="9" name="Text 52"/>
        <xdr:cNvSpPr txBox="1">
          <a:spLocks noChangeArrowheads="1"/>
        </xdr:cNvSpPr>
      </xdr:nvSpPr>
      <xdr:spPr bwMode="auto">
        <a:xfrm>
          <a:off x="762000" y="31623000"/>
          <a:ext cx="7620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171</xdr:row>
      <xdr:rowOff>0</xdr:rowOff>
    </xdr:from>
    <xdr:to>
      <xdr:col>2</xdr:col>
      <xdr:colOff>0</xdr:colOff>
      <xdr:row>171</xdr:row>
      <xdr:rowOff>0</xdr:rowOff>
    </xdr:to>
    <xdr:sp macro="" textlink="">
      <xdr:nvSpPr>
        <xdr:cNvPr id="10" name="Text 64"/>
        <xdr:cNvSpPr txBox="1">
          <a:spLocks noChangeArrowheads="1"/>
        </xdr:cNvSpPr>
      </xdr:nvSpPr>
      <xdr:spPr bwMode="auto">
        <a:xfrm>
          <a:off x="762000" y="33528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171</xdr:row>
      <xdr:rowOff>0</xdr:rowOff>
    </xdr:from>
    <xdr:to>
      <xdr:col>2</xdr:col>
      <xdr:colOff>0</xdr:colOff>
      <xdr:row>171</xdr:row>
      <xdr:rowOff>0</xdr:rowOff>
    </xdr:to>
    <xdr:sp macro="" textlink="">
      <xdr:nvSpPr>
        <xdr:cNvPr id="11" name="Text 68"/>
        <xdr:cNvSpPr txBox="1">
          <a:spLocks noChangeArrowheads="1"/>
        </xdr:cNvSpPr>
      </xdr:nvSpPr>
      <xdr:spPr bwMode="auto">
        <a:xfrm>
          <a:off x="762000" y="33528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171</xdr:row>
      <xdr:rowOff>0</xdr:rowOff>
    </xdr:from>
    <xdr:to>
      <xdr:col>2</xdr:col>
      <xdr:colOff>0</xdr:colOff>
      <xdr:row>171</xdr:row>
      <xdr:rowOff>0</xdr:rowOff>
    </xdr:to>
    <xdr:sp macro="" textlink="">
      <xdr:nvSpPr>
        <xdr:cNvPr id="12" name="Text 69"/>
        <xdr:cNvSpPr txBox="1">
          <a:spLocks noChangeArrowheads="1"/>
        </xdr:cNvSpPr>
      </xdr:nvSpPr>
      <xdr:spPr bwMode="auto">
        <a:xfrm>
          <a:off x="762000" y="33528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xdr:col>
      <xdr:colOff>0</xdr:colOff>
      <xdr:row>171</xdr:row>
      <xdr:rowOff>0</xdr:rowOff>
    </xdr:from>
    <xdr:to>
      <xdr:col>2</xdr:col>
      <xdr:colOff>0</xdr:colOff>
      <xdr:row>171</xdr:row>
      <xdr:rowOff>0</xdr:rowOff>
    </xdr:to>
    <xdr:sp macro="" textlink="">
      <xdr:nvSpPr>
        <xdr:cNvPr id="13" name="Text 71"/>
        <xdr:cNvSpPr txBox="1">
          <a:spLocks noChangeArrowheads="1"/>
        </xdr:cNvSpPr>
      </xdr:nvSpPr>
      <xdr:spPr bwMode="auto">
        <a:xfrm>
          <a:off x="762000" y="33528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171</xdr:row>
      <xdr:rowOff>0</xdr:rowOff>
    </xdr:from>
    <xdr:to>
      <xdr:col>1</xdr:col>
      <xdr:colOff>2828925</xdr:colOff>
      <xdr:row>171</xdr:row>
      <xdr:rowOff>0</xdr:rowOff>
    </xdr:to>
    <xdr:sp macro="" textlink="">
      <xdr:nvSpPr>
        <xdr:cNvPr id="14" name="Text 72"/>
        <xdr:cNvSpPr txBox="1">
          <a:spLocks noChangeArrowheads="1"/>
        </xdr:cNvSpPr>
      </xdr:nvSpPr>
      <xdr:spPr bwMode="auto">
        <a:xfrm>
          <a:off x="771525" y="33528000"/>
          <a:ext cx="7524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171</xdr:row>
      <xdr:rowOff>0</xdr:rowOff>
    </xdr:from>
    <xdr:to>
      <xdr:col>2</xdr:col>
      <xdr:colOff>0</xdr:colOff>
      <xdr:row>171</xdr:row>
      <xdr:rowOff>0</xdr:rowOff>
    </xdr:to>
    <xdr:sp macro="" textlink="">
      <xdr:nvSpPr>
        <xdr:cNvPr id="15" name="Text 73"/>
        <xdr:cNvSpPr txBox="1">
          <a:spLocks noChangeArrowheads="1"/>
        </xdr:cNvSpPr>
      </xdr:nvSpPr>
      <xdr:spPr bwMode="auto">
        <a:xfrm>
          <a:off x="762000" y="33528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171</xdr:row>
      <xdr:rowOff>0</xdr:rowOff>
    </xdr:from>
    <xdr:to>
      <xdr:col>2</xdr:col>
      <xdr:colOff>0</xdr:colOff>
      <xdr:row>171</xdr:row>
      <xdr:rowOff>0</xdr:rowOff>
    </xdr:to>
    <xdr:sp macro="" textlink="">
      <xdr:nvSpPr>
        <xdr:cNvPr id="16" name="Text 79"/>
        <xdr:cNvSpPr txBox="1">
          <a:spLocks noChangeArrowheads="1"/>
        </xdr:cNvSpPr>
      </xdr:nvSpPr>
      <xdr:spPr bwMode="auto">
        <a:xfrm>
          <a:off x="762000" y="33528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 (Av.)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xdr:col>
      <xdr:colOff>0</xdr:colOff>
      <xdr:row>171</xdr:row>
      <xdr:rowOff>0</xdr:rowOff>
    </xdr:from>
    <xdr:to>
      <xdr:col>2</xdr:col>
      <xdr:colOff>0</xdr:colOff>
      <xdr:row>171</xdr:row>
      <xdr:rowOff>0</xdr:rowOff>
    </xdr:to>
    <xdr:sp macro="" textlink="">
      <xdr:nvSpPr>
        <xdr:cNvPr id="17" name="Text 81"/>
        <xdr:cNvSpPr txBox="1">
          <a:spLocks noChangeArrowheads="1"/>
        </xdr:cNvSpPr>
      </xdr:nvSpPr>
      <xdr:spPr bwMode="auto">
        <a:xfrm>
          <a:off x="762000" y="33528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171</xdr:row>
      <xdr:rowOff>0</xdr:rowOff>
    </xdr:from>
    <xdr:to>
      <xdr:col>1</xdr:col>
      <xdr:colOff>2828925</xdr:colOff>
      <xdr:row>171</xdr:row>
      <xdr:rowOff>0</xdr:rowOff>
    </xdr:to>
    <xdr:sp macro="" textlink="">
      <xdr:nvSpPr>
        <xdr:cNvPr id="18" name="Text 82"/>
        <xdr:cNvSpPr txBox="1">
          <a:spLocks noChangeArrowheads="1"/>
        </xdr:cNvSpPr>
      </xdr:nvSpPr>
      <xdr:spPr bwMode="auto">
        <a:xfrm>
          <a:off x="771525" y="33528000"/>
          <a:ext cx="7524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171</xdr:row>
      <xdr:rowOff>0</xdr:rowOff>
    </xdr:from>
    <xdr:to>
      <xdr:col>2</xdr:col>
      <xdr:colOff>0</xdr:colOff>
      <xdr:row>171</xdr:row>
      <xdr:rowOff>0</xdr:rowOff>
    </xdr:to>
    <xdr:sp macro="" textlink="">
      <xdr:nvSpPr>
        <xdr:cNvPr id="19" name="Text 83"/>
        <xdr:cNvSpPr txBox="1">
          <a:spLocks noChangeArrowheads="1"/>
        </xdr:cNvSpPr>
      </xdr:nvSpPr>
      <xdr:spPr bwMode="auto">
        <a:xfrm>
          <a:off x="762000" y="33528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171</xdr:row>
      <xdr:rowOff>0</xdr:rowOff>
    </xdr:from>
    <xdr:to>
      <xdr:col>2</xdr:col>
      <xdr:colOff>0</xdr:colOff>
      <xdr:row>171</xdr:row>
      <xdr:rowOff>0</xdr:rowOff>
    </xdr:to>
    <xdr:sp macro="" textlink="">
      <xdr:nvSpPr>
        <xdr:cNvPr id="20" name="Text 156"/>
        <xdr:cNvSpPr txBox="1">
          <a:spLocks noChangeArrowheads="1"/>
        </xdr:cNvSpPr>
      </xdr:nvSpPr>
      <xdr:spPr bwMode="auto">
        <a:xfrm>
          <a:off x="762000" y="33528000"/>
          <a:ext cx="7620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171</xdr:row>
      <xdr:rowOff>0</xdr:rowOff>
    </xdr:from>
    <xdr:to>
      <xdr:col>2</xdr:col>
      <xdr:colOff>0</xdr:colOff>
      <xdr:row>171</xdr:row>
      <xdr:rowOff>0</xdr:rowOff>
    </xdr:to>
    <xdr:sp macro="" textlink="">
      <xdr:nvSpPr>
        <xdr:cNvPr id="21" name="Text 157"/>
        <xdr:cNvSpPr txBox="1">
          <a:spLocks noChangeArrowheads="1"/>
        </xdr:cNvSpPr>
      </xdr:nvSpPr>
      <xdr:spPr bwMode="auto">
        <a:xfrm>
          <a:off x="762000" y="33528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199</xdr:row>
      <xdr:rowOff>0</xdr:rowOff>
    </xdr:from>
    <xdr:to>
      <xdr:col>2</xdr:col>
      <xdr:colOff>0</xdr:colOff>
      <xdr:row>199</xdr:row>
      <xdr:rowOff>0</xdr:rowOff>
    </xdr:to>
    <xdr:sp macro="" textlink="">
      <xdr:nvSpPr>
        <xdr:cNvPr id="22" name="Text 160"/>
        <xdr:cNvSpPr txBox="1">
          <a:spLocks noChangeArrowheads="1"/>
        </xdr:cNvSpPr>
      </xdr:nvSpPr>
      <xdr:spPr bwMode="auto">
        <a:xfrm>
          <a:off x="762000" y="367665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0</xdr:colOff>
      <xdr:row>199</xdr:row>
      <xdr:rowOff>0</xdr:rowOff>
    </xdr:from>
    <xdr:to>
      <xdr:col>2</xdr:col>
      <xdr:colOff>0</xdr:colOff>
      <xdr:row>199</xdr:row>
      <xdr:rowOff>0</xdr:rowOff>
    </xdr:to>
    <xdr:sp macro="" textlink="">
      <xdr:nvSpPr>
        <xdr:cNvPr id="23" name="Text 161"/>
        <xdr:cNvSpPr txBox="1">
          <a:spLocks noChangeArrowheads="1"/>
        </xdr:cNvSpPr>
      </xdr:nvSpPr>
      <xdr:spPr bwMode="auto">
        <a:xfrm>
          <a:off x="762000" y="367665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p>
      </xdr:txBody>
    </xdr:sp>
    <xdr:clientData/>
  </xdr:twoCellAnchor>
  <xdr:twoCellAnchor>
    <xdr:from>
      <xdr:col>12</xdr:col>
      <xdr:colOff>0</xdr:colOff>
      <xdr:row>107</xdr:row>
      <xdr:rowOff>0</xdr:rowOff>
    </xdr:from>
    <xdr:to>
      <xdr:col>12</xdr:col>
      <xdr:colOff>0</xdr:colOff>
      <xdr:row>107</xdr:row>
      <xdr:rowOff>0</xdr:rowOff>
    </xdr:to>
    <xdr:sp macro="" textlink="">
      <xdr:nvSpPr>
        <xdr:cNvPr id="24" name="Text 143"/>
        <xdr:cNvSpPr txBox="1">
          <a:spLocks noChangeArrowheads="1"/>
        </xdr:cNvSpPr>
      </xdr:nvSpPr>
      <xdr:spPr bwMode="auto">
        <a:xfrm>
          <a:off x="9144000" y="213360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xdr:col>
      <xdr:colOff>0</xdr:colOff>
      <xdr:row>200</xdr:row>
      <xdr:rowOff>0</xdr:rowOff>
    </xdr:from>
    <xdr:to>
      <xdr:col>2</xdr:col>
      <xdr:colOff>0</xdr:colOff>
      <xdr:row>200</xdr:row>
      <xdr:rowOff>0</xdr:rowOff>
    </xdr:to>
    <xdr:sp macro="" textlink="">
      <xdr:nvSpPr>
        <xdr:cNvPr id="25" name="Text 85"/>
        <xdr:cNvSpPr txBox="1">
          <a:spLocks noChangeArrowheads="1"/>
        </xdr:cNvSpPr>
      </xdr:nvSpPr>
      <xdr:spPr bwMode="auto">
        <a:xfrm>
          <a:off x="762000" y="36957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9525</xdr:colOff>
      <xdr:row>202</xdr:row>
      <xdr:rowOff>0</xdr:rowOff>
    </xdr:from>
    <xdr:to>
      <xdr:col>2</xdr:col>
      <xdr:colOff>9525</xdr:colOff>
      <xdr:row>202</xdr:row>
      <xdr:rowOff>0</xdr:rowOff>
    </xdr:to>
    <xdr:sp macro="" textlink="">
      <xdr:nvSpPr>
        <xdr:cNvPr id="26" name="Text 87"/>
        <xdr:cNvSpPr txBox="1">
          <a:spLocks noChangeArrowheads="1"/>
        </xdr:cNvSpPr>
      </xdr:nvSpPr>
      <xdr:spPr bwMode="auto">
        <a:xfrm>
          <a:off x="771525" y="373380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202</xdr:row>
      <xdr:rowOff>0</xdr:rowOff>
    </xdr:from>
    <xdr:to>
      <xdr:col>2</xdr:col>
      <xdr:colOff>9525</xdr:colOff>
      <xdr:row>202</xdr:row>
      <xdr:rowOff>0</xdr:rowOff>
    </xdr:to>
    <xdr:sp macro="" textlink="">
      <xdr:nvSpPr>
        <xdr:cNvPr id="27" name="Text 88"/>
        <xdr:cNvSpPr txBox="1">
          <a:spLocks noChangeArrowheads="1"/>
        </xdr:cNvSpPr>
      </xdr:nvSpPr>
      <xdr:spPr bwMode="auto">
        <a:xfrm>
          <a:off x="771525" y="37338000"/>
          <a:ext cx="762000"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12</xdr:col>
      <xdr:colOff>0</xdr:colOff>
      <xdr:row>17</xdr:row>
      <xdr:rowOff>0</xdr:rowOff>
    </xdr:from>
    <xdr:to>
      <xdr:col>12</xdr:col>
      <xdr:colOff>0</xdr:colOff>
      <xdr:row>17</xdr:row>
      <xdr:rowOff>0</xdr:rowOff>
    </xdr:to>
    <xdr:sp macro="" textlink="#REF!">
      <xdr:nvSpPr>
        <xdr:cNvPr id="28" name="Text 112"/>
        <xdr:cNvSpPr txBox="1">
          <a:spLocks noChangeArrowheads="1"/>
        </xdr:cNvSpPr>
      </xdr:nvSpPr>
      <xdr:spPr bwMode="auto">
        <a:xfrm>
          <a:off x="9144000" y="3238500"/>
          <a:ext cx="0" cy="0"/>
        </a:xfrm>
        <a:prstGeom prst="rect">
          <a:avLst/>
        </a:prstGeom>
        <a:solidFill>
          <a:srgbClr val="FFFFFF"/>
        </a:solidFill>
        <a:ln w="1">
          <a:noFill/>
          <a:miter lim="800000"/>
          <a:headEnd/>
          <a:tailEnd/>
        </a:ln>
      </xdr:spPr>
      <xdr:txBody>
        <a:bodyPr/>
        <a:lstStyle/>
        <a:p>
          <a:fld id="{33C907C4-545D-419A-AA17-9C2605A5413A}"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
      <xdr:nvSpPr>
        <xdr:cNvPr id="29" name="Text 113"/>
        <xdr:cNvSpPr txBox="1">
          <a:spLocks noChangeArrowheads="1"/>
        </xdr:cNvSpPr>
      </xdr:nvSpPr>
      <xdr:spPr bwMode="auto">
        <a:xfrm>
          <a:off x="9144000" y="32385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30" name="Text 112"/>
        <xdr:cNvSpPr txBox="1">
          <a:spLocks noChangeArrowheads="1"/>
        </xdr:cNvSpPr>
      </xdr:nvSpPr>
      <xdr:spPr bwMode="auto">
        <a:xfrm>
          <a:off x="9144000" y="3238500"/>
          <a:ext cx="0" cy="0"/>
        </a:xfrm>
        <a:prstGeom prst="rect">
          <a:avLst/>
        </a:prstGeom>
        <a:solidFill>
          <a:srgbClr val="FFFFFF"/>
        </a:solidFill>
        <a:ln w="1">
          <a:noFill/>
          <a:miter lim="800000"/>
          <a:headEnd/>
          <a:tailEnd/>
        </a:ln>
      </xdr:spPr>
      <xdr:txBody>
        <a:bodyPr/>
        <a:lstStyle/>
        <a:p>
          <a:fld id="{6050572C-5EF3-449B-B874-FBFBA8FE3601}"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
      <xdr:nvSpPr>
        <xdr:cNvPr id="31" name="Text 113"/>
        <xdr:cNvSpPr txBox="1">
          <a:spLocks noChangeArrowheads="1"/>
        </xdr:cNvSpPr>
      </xdr:nvSpPr>
      <xdr:spPr bwMode="auto">
        <a:xfrm>
          <a:off x="9144000" y="32385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32" name="Text 112"/>
        <xdr:cNvSpPr txBox="1">
          <a:spLocks noChangeArrowheads="1"/>
        </xdr:cNvSpPr>
      </xdr:nvSpPr>
      <xdr:spPr bwMode="auto">
        <a:xfrm>
          <a:off x="9144000" y="3238500"/>
          <a:ext cx="0" cy="0"/>
        </a:xfrm>
        <a:prstGeom prst="rect">
          <a:avLst/>
        </a:prstGeom>
        <a:solidFill>
          <a:srgbClr val="FFFFFF"/>
        </a:solidFill>
        <a:ln w="1">
          <a:noFill/>
          <a:miter lim="800000"/>
          <a:headEnd/>
          <a:tailEnd/>
        </a:ln>
      </xdr:spPr>
      <xdr:txBody>
        <a:bodyPr/>
        <a:lstStyle/>
        <a:p>
          <a:fld id="{E1887A5C-F953-4A2E-BB12-8914DD439528}"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33" name="Text 112"/>
        <xdr:cNvSpPr txBox="1">
          <a:spLocks noChangeArrowheads="1"/>
        </xdr:cNvSpPr>
      </xdr:nvSpPr>
      <xdr:spPr bwMode="auto">
        <a:xfrm>
          <a:off x="9144000" y="3238500"/>
          <a:ext cx="0" cy="0"/>
        </a:xfrm>
        <a:prstGeom prst="rect">
          <a:avLst/>
        </a:prstGeom>
        <a:solidFill>
          <a:srgbClr val="FFFFFF"/>
        </a:solidFill>
        <a:ln w="1">
          <a:noFill/>
          <a:miter lim="800000"/>
          <a:headEnd/>
          <a:tailEnd/>
        </a:ln>
      </xdr:spPr>
      <xdr:txBody>
        <a:bodyPr/>
        <a:lstStyle/>
        <a:p>
          <a:fld id="{0FA048FC-0109-4775-9C53-EF44906677A1}"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34" name="Text 112"/>
        <xdr:cNvSpPr txBox="1">
          <a:spLocks noChangeArrowheads="1"/>
        </xdr:cNvSpPr>
      </xdr:nvSpPr>
      <xdr:spPr bwMode="auto">
        <a:xfrm>
          <a:off x="9144000" y="3238500"/>
          <a:ext cx="0" cy="0"/>
        </a:xfrm>
        <a:prstGeom prst="rect">
          <a:avLst/>
        </a:prstGeom>
        <a:solidFill>
          <a:srgbClr val="FFFFFF"/>
        </a:solidFill>
        <a:ln w="1">
          <a:noFill/>
          <a:miter lim="800000"/>
          <a:headEnd/>
          <a:tailEnd/>
        </a:ln>
      </xdr:spPr>
      <xdr:txBody>
        <a:bodyPr/>
        <a:lstStyle/>
        <a:p>
          <a:fld id="{30A197E8-3A7C-4CCE-B776-059A33CA0EEB}"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35" name="Text 112"/>
        <xdr:cNvSpPr txBox="1">
          <a:spLocks noChangeArrowheads="1"/>
        </xdr:cNvSpPr>
      </xdr:nvSpPr>
      <xdr:spPr bwMode="auto">
        <a:xfrm>
          <a:off x="9144000" y="3238500"/>
          <a:ext cx="0" cy="0"/>
        </a:xfrm>
        <a:prstGeom prst="rect">
          <a:avLst/>
        </a:prstGeom>
        <a:solidFill>
          <a:srgbClr val="FFFFFF"/>
        </a:solidFill>
        <a:ln w="1">
          <a:noFill/>
          <a:miter lim="800000"/>
          <a:headEnd/>
          <a:tailEnd/>
        </a:ln>
      </xdr:spPr>
      <xdr:txBody>
        <a:bodyPr/>
        <a:lstStyle/>
        <a:p>
          <a:fld id="{E4271E8A-4C79-48E6-8EE3-1E6F928C814B}"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36" name="Text 112"/>
        <xdr:cNvSpPr txBox="1">
          <a:spLocks noChangeArrowheads="1"/>
        </xdr:cNvSpPr>
      </xdr:nvSpPr>
      <xdr:spPr bwMode="auto">
        <a:xfrm>
          <a:off x="9144000" y="3238500"/>
          <a:ext cx="0" cy="0"/>
        </a:xfrm>
        <a:prstGeom prst="rect">
          <a:avLst/>
        </a:prstGeom>
        <a:solidFill>
          <a:srgbClr val="FFFFFF"/>
        </a:solidFill>
        <a:ln w="1">
          <a:noFill/>
          <a:miter lim="800000"/>
          <a:headEnd/>
          <a:tailEnd/>
        </a:ln>
      </xdr:spPr>
      <xdr:txBody>
        <a:bodyPr/>
        <a:lstStyle/>
        <a:p>
          <a:fld id="{466E8BB6-0C75-4E38-BC1B-9B9B9DCE645C}"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37" name="Text 112"/>
        <xdr:cNvSpPr txBox="1">
          <a:spLocks noChangeArrowheads="1"/>
        </xdr:cNvSpPr>
      </xdr:nvSpPr>
      <xdr:spPr bwMode="auto">
        <a:xfrm>
          <a:off x="9144000" y="3238500"/>
          <a:ext cx="0" cy="0"/>
        </a:xfrm>
        <a:prstGeom prst="rect">
          <a:avLst/>
        </a:prstGeom>
        <a:solidFill>
          <a:srgbClr val="FFFFFF"/>
        </a:solidFill>
        <a:ln w="1">
          <a:noFill/>
          <a:miter lim="800000"/>
          <a:headEnd/>
          <a:tailEnd/>
        </a:ln>
      </xdr:spPr>
      <xdr:txBody>
        <a:bodyPr/>
        <a:lstStyle/>
        <a:p>
          <a:fld id="{B4656138-0BE5-43AF-BC45-4DF5DBD8FF4C}" type="TxLink">
            <a:rPr lang="en-US"/>
            <a:pPr/>
            <a:t>​</a:t>
          </a:fld>
          <a:endParaRPr lang="en-US"/>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38" name="Text 143"/>
        <xdr:cNvSpPr txBox="1">
          <a:spLocks noChangeArrowheads="1"/>
        </xdr:cNvSpPr>
      </xdr:nvSpPr>
      <xdr:spPr bwMode="auto">
        <a:xfrm>
          <a:off x="9144000" y="215265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10</xdr:row>
      <xdr:rowOff>0</xdr:rowOff>
    </xdr:from>
    <xdr:to>
      <xdr:col>12</xdr:col>
      <xdr:colOff>0</xdr:colOff>
      <xdr:row>11</xdr:row>
      <xdr:rowOff>0</xdr:rowOff>
    </xdr:to>
    <xdr:sp macro="" textlink="#REF!">
      <xdr:nvSpPr>
        <xdr:cNvPr id="39" name="Text 112"/>
        <xdr:cNvSpPr txBox="1">
          <a:spLocks noChangeArrowheads="1"/>
        </xdr:cNvSpPr>
      </xdr:nvSpPr>
      <xdr:spPr bwMode="auto">
        <a:xfrm>
          <a:off x="9144000" y="1905000"/>
          <a:ext cx="0" cy="190500"/>
        </a:xfrm>
        <a:prstGeom prst="rect">
          <a:avLst/>
        </a:prstGeom>
        <a:solidFill>
          <a:srgbClr val="FFFFFF"/>
        </a:solidFill>
        <a:ln w="1">
          <a:noFill/>
          <a:miter lim="800000"/>
          <a:headEnd/>
          <a:tailEnd/>
        </a:ln>
      </xdr:spPr>
      <xdr:txBody>
        <a:bodyPr/>
        <a:lstStyle/>
        <a:p>
          <a:fld id="{6F7A48CF-E42C-4F81-8E72-B5F48F320713}" type="TxLink">
            <a:rPr lang="en-US"/>
            <a:pPr/>
            <a:t>​</a:t>
          </a:fld>
          <a:endParaRPr lang="en-US"/>
        </a:p>
      </xdr:txBody>
    </xdr:sp>
    <xdr:clientData/>
  </xdr:twoCellAnchor>
  <xdr:twoCellAnchor>
    <xdr:from>
      <xdr:col>12</xdr:col>
      <xdr:colOff>0</xdr:colOff>
      <xdr:row>17</xdr:row>
      <xdr:rowOff>0</xdr:rowOff>
    </xdr:from>
    <xdr:to>
      <xdr:col>12</xdr:col>
      <xdr:colOff>0</xdr:colOff>
      <xdr:row>17</xdr:row>
      <xdr:rowOff>0</xdr:rowOff>
    </xdr:to>
    <xdr:sp macro="" textlink="#REF!">
      <xdr:nvSpPr>
        <xdr:cNvPr id="40" name="Text 112"/>
        <xdr:cNvSpPr txBox="1">
          <a:spLocks noChangeArrowheads="1"/>
        </xdr:cNvSpPr>
      </xdr:nvSpPr>
      <xdr:spPr bwMode="auto">
        <a:xfrm>
          <a:off x="9144000" y="3238500"/>
          <a:ext cx="0" cy="0"/>
        </a:xfrm>
        <a:prstGeom prst="rect">
          <a:avLst/>
        </a:prstGeom>
        <a:solidFill>
          <a:srgbClr val="FFFFFF"/>
        </a:solidFill>
        <a:ln w="1">
          <a:noFill/>
          <a:miter lim="800000"/>
          <a:headEnd/>
          <a:tailEnd/>
        </a:ln>
      </xdr:spPr>
      <xdr:txBody>
        <a:bodyPr/>
        <a:lstStyle/>
        <a:p>
          <a:fld id="{631331DB-1AF5-4542-9EE5-FFA11208482F}" type="TxLink">
            <a:rPr lang="en-US"/>
            <a:pPr/>
            <a:t>​</a:t>
          </a:fld>
          <a:endParaRPr lang="en-US"/>
        </a:p>
      </xdr:txBody>
    </xdr:sp>
    <xdr:clientData/>
  </xdr:twoCellAnchor>
  <xdr:twoCellAnchor>
    <xdr:from>
      <xdr:col>12</xdr:col>
      <xdr:colOff>0</xdr:colOff>
      <xdr:row>14</xdr:row>
      <xdr:rowOff>0</xdr:rowOff>
    </xdr:from>
    <xdr:to>
      <xdr:col>12</xdr:col>
      <xdr:colOff>0</xdr:colOff>
      <xdr:row>15</xdr:row>
      <xdr:rowOff>0</xdr:rowOff>
    </xdr:to>
    <xdr:sp macro="" textlink="#REF!">
      <xdr:nvSpPr>
        <xdr:cNvPr id="41" name="Text 112"/>
        <xdr:cNvSpPr txBox="1">
          <a:spLocks noChangeArrowheads="1"/>
        </xdr:cNvSpPr>
      </xdr:nvSpPr>
      <xdr:spPr bwMode="auto">
        <a:xfrm>
          <a:off x="9144000" y="2667000"/>
          <a:ext cx="0" cy="190500"/>
        </a:xfrm>
        <a:prstGeom prst="rect">
          <a:avLst/>
        </a:prstGeom>
        <a:solidFill>
          <a:srgbClr val="FFFFFF"/>
        </a:solidFill>
        <a:ln w="1">
          <a:noFill/>
          <a:miter lim="800000"/>
          <a:headEnd/>
          <a:tailEnd/>
        </a:ln>
      </xdr:spPr>
      <xdr:txBody>
        <a:bodyPr/>
        <a:lstStyle/>
        <a:p>
          <a:fld id="{C062AD4D-9FFE-46FE-8497-FE0E5D2551D7}" type="TxLink">
            <a:rPr lang="en-US"/>
            <a:pPr/>
            <a:t>​</a:t>
          </a:fld>
          <a:endParaRPr lang="en-US"/>
        </a:p>
      </xdr:txBody>
    </xdr:sp>
    <xdr:clientData/>
  </xdr:twoCellAnchor>
  <xdr:twoCellAnchor>
    <xdr:from>
      <xdr:col>1</xdr:col>
      <xdr:colOff>0</xdr:colOff>
      <xdr:row>88</xdr:row>
      <xdr:rowOff>0</xdr:rowOff>
    </xdr:from>
    <xdr:to>
      <xdr:col>2</xdr:col>
      <xdr:colOff>0</xdr:colOff>
      <xdr:row>88</xdr:row>
      <xdr:rowOff>0</xdr:rowOff>
    </xdr:to>
    <xdr:sp macro="" textlink="">
      <xdr:nvSpPr>
        <xdr:cNvPr id="42" name="Text 148"/>
        <xdr:cNvSpPr txBox="1">
          <a:spLocks noChangeArrowheads="1"/>
        </xdr:cNvSpPr>
      </xdr:nvSpPr>
      <xdr:spPr bwMode="auto">
        <a:xfrm>
          <a:off x="762000" y="165735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88</xdr:row>
      <xdr:rowOff>0</xdr:rowOff>
    </xdr:from>
    <xdr:to>
      <xdr:col>2</xdr:col>
      <xdr:colOff>0</xdr:colOff>
      <xdr:row>88</xdr:row>
      <xdr:rowOff>0</xdr:rowOff>
    </xdr:to>
    <xdr:sp macro="" textlink="">
      <xdr:nvSpPr>
        <xdr:cNvPr id="43" name="Text 149"/>
        <xdr:cNvSpPr txBox="1">
          <a:spLocks noChangeArrowheads="1"/>
        </xdr:cNvSpPr>
      </xdr:nvSpPr>
      <xdr:spPr bwMode="auto">
        <a:xfrm>
          <a:off x="762000" y="16573500"/>
          <a:ext cx="7620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88</xdr:row>
      <xdr:rowOff>0</xdr:rowOff>
    </xdr:from>
    <xdr:to>
      <xdr:col>2</xdr:col>
      <xdr:colOff>0</xdr:colOff>
      <xdr:row>88</xdr:row>
      <xdr:rowOff>0</xdr:rowOff>
    </xdr:to>
    <xdr:sp macro="" textlink="">
      <xdr:nvSpPr>
        <xdr:cNvPr id="44" name="Text 152"/>
        <xdr:cNvSpPr txBox="1">
          <a:spLocks noChangeArrowheads="1"/>
        </xdr:cNvSpPr>
      </xdr:nvSpPr>
      <xdr:spPr bwMode="auto">
        <a:xfrm>
          <a:off x="762000" y="16573500"/>
          <a:ext cx="7620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88</xdr:row>
      <xdr:rowOff>0</xdr:rowOff>
    </xdr:from>
    <xdr:to>
      <xdr:col>2</xdr:col>
      <xdr:colOff>0</xdr:colOff>
      <xdr:row>88</xdr:row>
      <xdr:rowOff>0</xdr:rowOff>
    </xdr:to>
    <xdr:sp macro="" textlink="">
      <xdr:nvSpPr>
        <xdr:cNvPr id="45" name="Text 65"/>
        <xdr:cNvSpPr txBox="1">
          <a:spLocks noChangeArrowheads="1"/>
        </xdr:cNvSpPr>
      </xdr:nvSpPr>
      <xdr:spPr bwMode="auto">
        <a:xfrm>
          <a:off x="762000" y="16573500"/>
          <a:ext cx="7620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88</xdr:row>
      <xdr:rowOff>0</xdr:rowOff>
    </xdr:from>
    <xdr:to>
      <xdr:col>1</xdr:col>
      <xdr:colOff>2828925</xdr:colOff>
      <xdr:row>88</xdr:row>
      <xdr:rowOff>0</xdr:rowOff>
    </xdr:to>
    <xdr:sp macro="" textlink="">
      <xdr:nvSpPr>
        <xdr:cNvPr id="46" name="Text 71"/>
        <xdr:cNvSpPr txBox="1">
          <a:spLocks noChangeArrowheads="1"/>
        </xdr:cNvSpPr>
      </xdr:nvSpPr>
      <xdr:spPr bwMode="auto">
        <a:xfrm>
          <a:off x="762000" y="16573500"/>
          <a:ext cx="7620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88</xdr:row>
      <xdr:rowOff>0</xdr:rowOff>
    </xdr:from>
    <xdr:to>
      <xdr:col>2</xdr:col>
      <xdr:colOff>0</xdr:colOff>
      <xdr:row>88</xdr:row>
      <xdr:rowOff>0</xdr:rowOff>
    </xdr:to>
    <xdr:sp macro="" textlink="">
      <xdr:nvSpPr>
        <xdr:cNvPr id="47" name="Text 74"/>
        <xdr:cNvSpPr txBox="1">
          <a:spLocks noChangeArrowheads="1"/>
        </xdr:cNvSpPr>
      </xdr:nvSpPr>
      <xdr:spPr bwMode="auto">
        <a:xfrm>
          <a:off x="762000" y="16573500"/>
          <a:ext cx="7620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48" name="Text 112"/>
        <xdr:cNvSpPr txBox="1">
          <a:spLocks noChangeArrowheads="1"/>
        </xdr:cNvSpPr>
      </xdr:nvSpPr>
      <xdr:spPr bwMode="auto">
        <a:xfrm>
          <a:off x="9144000" y="3619500"/>
          <a:ext cx="0" cy="0"/>
        </a:xfrm>
        <a:prstGeom prst="rect">
          <a:avLst/>
        </a:prstGeom>
        <a:solidFill>
          <a:srgbClr val="FFFFFF"/>
        </a:solidFill>
        <a:ln w="1">
          <a:noFill/>
          <a:miter lim="800000"/>
          <a:headEnd/>
          <a:tailEnd/>
        </a:ln>
      </xdr:spPr>
      <xdr:txBody>
        <a:bodyPr/>
        <a:lstStyle/>
        <a:p>
          <a:fld id="{33C907C4-545D-419A-AA17-9C2605A5413A}"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
      <xdr:nvSpPr>
        <xdr:cNvPr id="49" name="Text 113"/>
        <xdr:cNvSpPr txBox="1">
          <a:spLocks noChangeArrowheads="1"/>
        </xdr:cNvSpPr>
      </xdr:nvSpPr>
      <xdr:spPr bwMode="auto">
        <a:xfrm>
          <a:off x="9144000" y="36195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0" name="Text 112"/>
        <xdr:cNvSpPr txBox="1">
          <a:spLocks noChangeArrowheads="1"/>
        </xdr:cNvSpPr>
      </xdr:nvSpPr>
      <xdr:spPr bwMode="auto">
        <a:xfrm>
          <a:off x="9144000" y="3619500"/>
          <a:ext cx="0" cy="0"/>
        </a:xfrm>
        <a:prstGeom prst="rect">
          <a:avLst/>
        </a:prstGeom>
        <a:solidFill>
          <a:srgbClr val="FFFFFF"/>
        </a:solidFill>
        <a:ln w="1">
          <a:noFill/>
          <a:miter lim="800000"/>
          <a:headEnd/>
          <a:tailEnd/>
        </a:ln>
      </xdr:spPr>
      <xdr:txBody>
        <a:bodyPr/>
        <a:lstStyle/>
        <a:p>
          <a:fld id="{6050572C-5EF3-449B-B874-FBFBA8FE3601}"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
      <xdr:nvSpPr>
        <xdr:cNvPr id="51" name="Text 113"/>
        <xdr:cNvSpPr txBox="1">
          <a:spLocks noChangeArrowheads="1"/>
        </xdr:cNvSpPr>
      </xdr:nvSpPr>
      <xdr:spPr bwMode="auto">
        <a:xfrm>
          <a:off x="9144000" y="36195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2" name="Text 112"/>
        <xdr:cNvSpPr txBox="1">
          <a:spLocks noChangeArrowheads="1"/>
        </xdr:cNvSpPr>
      </xdr:nvSpPr>
      <xdr:spPr bwMode="auto">
        <a:xfrm>
          <a:off x="9144000" y="3619500"/>
          <a:ext cx="0" cy="0"/>
        </a:xfrm>
        <a:prstGeom prst="rect">
          <a:avLst/>
        </a:prstGeom>
        <a:solidFill>
          <a:srgbClr val="FFFFFF"/>
        </a:solidFill>
        <a:ln w="1">
          <a:noFill/>
          <a:miter lim="800000"/>
          <a:headEnd/>
          <a:tailEnd/>
        </a:ln>
      </xdr:spPr>
      <xdr:txBody>
        <a:bodyPr/>
        <a:lstStyle/>
        <a:p>
          <a:fld id="{E1887A5C-F953-4A2E-BB12-8914DD439528}"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3" name="Text 112"/>
        <xdr:cNvSpPr txBox="1">
          <a:spLocks noChangeArrowheads="1"/>
        </xdr:cNvSpPr>
      </xdr:nvSpPr>
      <xdr:spPr bwMode="auto">
        <a:xfrm>
          <a:off x="9144000" y="3619500"/>
          <a:ext cx="0" cy="0"/>
        </a:xfrm>
        <a:prstGeom prst="rect">
          <a:avLst/>
        </a:prstGeom>
        <a:solidFill>
          <a:srgbClr val="FFFFFF"/>
        </a:solidFill>
        <a:ln w="1">
          <a:noFill/>
          <a:miter lim="800000"/>
          <a:headEnd/>
          <a:tailEnd/>
        </a:ln>
      </xdr:spPr>
      <xdr:txBody>
        <a:bodyPr/>
        <a:lstStyle/>
        <a:p>
          <a:fld id="{0FA048FC-0109-4775-9C53-EF44906677A1}"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4" name="Text 112"/>
        <xdr:cNvSpPr txBox="1">
          <a:spLocks noChangeArrowheads="1"/>
        </xdr:cNvSpPr>
      </xdr:nvSpPr>
      <xdr:spPr bwMode="auto">
        <a:xfrm>
          <a:off x="9144000" y="3619500"/>
          <a:ext cx="0" cy="0"/>
        </a:xfrm>
        <a:prstGeom prst="rect">
          <a:avLst/>
        </a:prstGeom>
        <a:solidFill>
          <a:srgbClr val="FFFFFF"/>
        </a:solidFill>
        <a:ln w="1">
          <a:noFill/>
          <a:miter lim="800000"/>
          <a:headEnd/>
          <a:tailEnd/>
        </a:ln>
      </xdr:spPr>
      <xdr:txBody>
        <a:bodyPr/>
        <a:lstStyle/>
        <a:p>
          <a:fld id="{30A197E8-3A7C-4CCE-B776-059A33CA0EEB}"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5" name="Text 112"/>
        <xdr:cNvSpPr txBox="1">
          <a:spLocks noChangeArrowheads="1"/>
        </xdr:cNvSpPr>
      </xdr:nvSpPr>
      <xdr:spPr bwMode="auto">
        <a:xfrm>
          <a:off x="9144000" y="3619500"/>
          <a:ext cx="0" cy="0"/>
        </a:xfrm>
        <a:prstGeom prst="rect">
          <a:avLst/>
        </a:prstGeom>
        <a:solidFill>
          <a:srgbClr val="FFFFFF"/>
        </a:solidFill>
        <a:ln w="1">
          <a:noFill/>
          <a:miter lim="800000"/>
          <a:headEnd/>
          <a:tailEnd/>
        </a:ln>
      </xdr:spPr>
      <xdr:txBody>
        <a:bodyPr/>
        <a:lstStyle/>
        <a:p>
          <a:fld id="{E4271E8A-4C79-48E6-8EE3-1E6F928C814B}"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6" name="Text 112"/>
        <xdr:cNvSpPr txBox="1">
          <a:spLocks noChangeArrowheads="1"/>
        </xdr:cNvSpPr>
      </xdr:nvSpPr>
      <xdr:spPr bwMode="auto">
        <a:xfrm>
          <a:off x="9144000" y="3619500"/>
          <a:ext cx="0" cy="0"/>
        </a:xfrm>
        <a:prstGeom prst="rect">
          <a:avLst/>
        </a:prstGeom>
        <a:solidFill>
          <a:srgbClr val="FFFFFF"/>
        </a:solidFill>
        <a:ln w="1">
          <a:noFill/>
          <a:miter lim="800000"/>
          <a:headEnd/>
          <a:tailEnd/>
        </a:ln>
      </xdr:spPr>
      <xdr:txBody>
        <a:bodyPr/>
        <a:lstStyle/>
        <a:p>
          <a:fld id="{466E8BB6-0C75-4E38-BC1B-9B9B9DCE645C}"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7" name="Text 112"/>
        <xdr:cNvSpPr txBox="1">
          <a:spLocks noChangeArrowheads="1"/>
        </xdr:cNvSpPr>
      </xdr:nvSpPr>
      <xdr:spPr bwMode="auto">
        <a:xfrm>
          <a:off x="9144000" y="3619500"/>
          <a:ext cx="0" cy="0"/>
        </a:xfrm>
        <a:prstGeom prst="rect">
          <a:avLst/>
        </a:prstGeom>
        <a:solidFill>
          <a:srgbClr val="FFFFFF"/>
        </a:solidFill>
        <a:ln w="1">
          <a:noFill/>
          <a:miter lim="800000"/>
          <a:headEnd/>
          <a:tailEnd/>
        </a:ln>
      </xdr:spPr>
      <xdr:txBody>
        <a:bodyPr/>
        <a:lstStyle/>
        <a:p>
          <a:fld id="{B4656138-0BE5-43AF-BC45-4DF5DBD8FF4C}" type="TxLink">
            <a:rPr lang="en-US"/>
            <a:pPr/>
            <a:t>​</a:t>
          </a:fld>
          <a:endParaRPr lang="en-US"/>
        </a:p>
      </xdr:txBody>
    </xdr:sp>
    <xdr:clientData/>
  </xdr:twoCellAnchor>
  <xdr:twoCellAnchor>
    <xdr:from>
      <xdr:col>12</xdr:col>
      <xdr:colOff>0</xdr:colOff>
      <xdr:row>19</xdr:row>
      <xdr:rowOff>0</xdr:rowOff>
    </xdr:from>
    <xdr:to>
      <xdr:col>12</xdr:col>
      <xdr:colOff>0</xdr:colOff>
      <xdr:row>19</xdr:row>
      <xdr:rowOff>0</xdr:rowOff>
    </xdr:to>
    <xdr:sp macro="" textlink="#REF!">
      <xdr:nvSpPr>
        <xdr:cNvPr id="58" name="Text 112"/>
        <xdr:cNvSpPr txBox="1">
          <a:spLocks noChangeArrowheads="1"/>
        </xdr:cNvSpPr>
      </xdr:nvSpPr>
      <xdr:spPr bwMode="auto">
        <a:xfrm>
          <a:off x="9144000" y="3619500"/>
          <a:ext cx="0" cy="0"/>
        </a:xfrm>
        <a:prstGeom prst="rect">
          <a:avLst/>
        </a:prstGeom>
        <a:solidFill>
          <a:srgbClr val="FFFFFF"/>
        </a:solidFill>
        <a:ln w="1">
          <a:noFill/>
          <a:miter lim="800000"/>
          <a:headEnd/>
          <a:tailEnd/>
        </a:ln>
      </xdr:spPr>
      <xdr:txBody>
        <a:bodyPr/>
        <a:lstStyle/>
        <a:p>
          <a:fld id="{631331DB-1AF5-4542-9EE5-FFA11208482F}" type="TxLink">
            <a:rPr lang="en-US"/>
            <a:pPr/>
            <a:t>​</a:t>
          </a:fld>
          <a:endParaRPr lang="en-US"/>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XESTIMATE%20BLOCK%20LIBR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abstract"/>
      <sheetName val="Sheet2"/>
    </sheetNames>
    <sheetDataSet>
      <sheetData sheetId="0">
        <row r="2">
          <cell r="A2" t="str">
            <v>NAME OF WORK :- Construction of Block Level Library Building at Vakhatpura, PS- Arthuna</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33"/>
  <sheetViews>
    <sheetView topLeftCell="A13" zoomScale="75" workbookViewId="0">
      <selection activeCell="E29" sqref="E29"/>
    </sheetView>
    <sheetView tabSelected="1" workbookViewId="1">
      <selection activeCell="A2" sqref="A2"/>
    </sheetView>
  </sheetViews>
  <sheetFormatPr defaultRowHeight="15" x14ac:dyDescent="0.2"/>
  <cols>
    <col min="1" max="1" width="4.44140625" customWidth="1"/>
    <col min="5" max="5" width="18.109375" customWidth="1"/>
    <col min="6" max="6" width="11.44140625" customWidth="1"/>
    <col min="7" max="7" width="12.5546875" style="2" customWidth="1"/>
  </cols>
  <sheetData>
    <row r="2" spans="1:7" s="5" customFormat="1" ht="36" x14ac:dyDescent="0.2">
      <c r="A2" s="13" t="s">
        <v>127</v>
      </c>
      <c r="B2" s="6"/>
      <c r="C2" s="6"/>
      <c r="D2" s="6"/>
      <c r="E2" s="7"/>
      <c r="F2" s="6"/>
      <c r="G2" s="7"/>
    </row>
    <row r="3" spans="1:7" s="5" customFormat="1" x14ac:dyDescent="0.2">
      <c r="A3" s="10"/>
      <c r="B3" s="6"/>
      <c r="C3" s="6"/>
      <c r="D3" s="6"/>
      <c r="E3" s="7"/>
      <c r="F3" s="6"/>
      <c r="G3" s="7"/>
    </row>
    <row r="4" spans="1:7" ht="15.75" x14ac:dyDescent="0.25">
      <c r="A4" s="8" t="s">
        <v>9</v>
      </c>
      <c r="B4" s="1"/>
      <c r="C4" s="1"/>
      <c r="D4" s="1"/>
      <c r="E4" s="1"/>
      <c r="F4" s="1"/>
      <c r="G4" s="12"/>
    </row>
    <row r="5" spans="1:7" x14ac:dyDescent="0.2">
      <c r="A5" s="1"/>
      <c r="B5" s="1"/>
      <c r="C5" s="1"/>
      <c r="D5" s="1"/>
      <c r="E5" s="1"/>
      <c r="F5" s="1"/>
      <c r="G5" s="12"/>
    </row>
    <row r="6" spans="1:7" s="5" customFormat="1" x14ac:dyDescent="0.2">
      <c r="B6" s="135" t="s">
        <v>102</v>
      </c>
      <c r="C6" s="136"/>
      <c r="D6" s="136"/>
      <c r="E6" s="136"/>
      <c r="F6" s="27" t="s">
        <v>10</v>
      </c>
      <c r="G6" s="28">
        <f>ROUND(GF1_ABS!G37,0)</f>
        <v>1384624</v>
      </c>
    </row>
    <row r="7" spans="1:7" s="5" customFormat="1" x14ac:dyDescent="0.2">
      <c r="B7" s="32"/>
      <c r="C7" s="9"/>
      <c r="D7" s="9"/>
      <c r="E7" s="9"/>
      <c r="F7" s="27"/>
      <c r="G7" s="28"/>
    </row>
    <row r="8" spans="1:7" s="254" customFormat="1" x14ac:dyDescent="0.2">
      <c r="B8" s="135" t="s">
        <v>154</v>
      </c>
      <c r="C8" s="255"/>
      <c r="D8" s="255"/>
      <c r="E8" s="255"/>
      <c r="F8" s="256" t="s">
        <v>10</v>
      </c>
      <c r="G8" s="257">
        <f>ROUND(FF_ABS!G30,0)</f>
        <v>888113</v>
      </c>
    </row>
    <row r="9" spans="1:7" s="254" customFormat="1" x14ac:dyDescent="0.2">
      <c r="B9" s="111"/>
      <c r="C9" s="258"/>
      <c r="D9" s="258"/>
      <c r="E9" s="258"/>
      <c r="F9" s="256"/>
      <c r="G9" s="257"/>
    </row>
    <row r="10" spans="1:7" x14ac:dyDescent="0.2">
      <c r="F10" s="30" t="s">
        <v>11</v>
      </c>
      <c r="G10" s="31">
        <f>SUM(G6:G8)</f>
        <v>2272737</v>
      </c>
    </row>
    <row r="12" spans="1:7" s="5" customFormat="1" x14ac:dyDescent="0.2">
      <c r="B12" s="33" t="s">
        <v>166</v>
      </c>
      <c r="C12" s="15"/>
      <c r="D12" s="15"/>
      <c r="E12" s="25"/>
      <c r="F12" s="29" t="s">
        <v>10</v>
      </c>
      <c r="G12" s="22">
        <f>ROUND((G10)*0.15,0)</f>
        <v>340911</v>
      </c>
    </row>
    <row r="13" spans="1:7" s="5" customFormat="1" x14ac:dyDescent="0.2">
      <c r="B13" s="33"/>
      <c r="C13" s="15"/>
      <c r="D13" s="15"/>
      <c r="E13" s="25"/>
      <c r="F13" s="29"/>
      <c r="G13" s="22"/>
    </row>
    <row r="14" spans="1:7" x14ac:dyDescent="0.2">
      <c r="B14" s="3" t="s">
        <v>162</v>
      </c>
      <c r="E14" s="4"/>
      <c r="F14" s="272" t="s">
        <v>10</v>
      </c>
      <c r="G14" s="273">
        <f>ROUND(G10*0.03,0)</f>
        <v>68182</v>
      </c>
    </row>
    <row r="15" spans="1:7" x14ac:dyDescent="0.2">
      <c r="B15" s="3"/>
      <c r="E15" s="4"/>
      <c r="F15" s="272"/>
      <c r="G15" s="273"/>
    </row>
    <row r="16" spans="1:7" x14ac:dyDescent="0.2">
      <c r="B16" s="3" t="s">
        <v>163</v>
      </c>
      <c r="E16" s="4"/>
      <c r="F16" s="272" t="s">
        <v>10</v>
      </c>
      <c r="G16" s="273">
        <f>ROUND(G10*0.01,0)</f>
        <v>22727</v>
      </c>
    </row>
    <row r="17" spans="1:8" x14ac:dyDescent="0.2">
      <c r="B17" s="3"/>
      <c r="E17" s="4"/>
      <c r="F17" s="272"/>
      <c r="G17" s="273"/>
    </row>
    <row r="18" spans="1:8" x14ac:dyDescent="0.2">
      <c r="B18" s="3" t="s">
        <v>164</v>
      </c>
      <c r="E18" s="4"/>
      <c r="F18" s="272" t="s">
        <v>10</v>
      </c>
      <c r="G18" s="273">
        <f>ROUND(G10*0.02,0)</f>
        <v>45455</v>
      </c>
    </row>
    <row r="19" spans="1:8" x14ac:dyDescent="0.2">
      <c r="B19" s="3"/>
      <c r="E19" s="4"/>
      <c r="F19" s="272"/>
      <c r="G19" s="273"/>
    </row>
    <row r="20" spans="1:8" x14ac:dyDescent="0.2">
      <c r="B20" s="108" t="s">
        <v>165</v>
      </c>
      <c r="E20" s="4"/>
      <c r="G20">
        <v>75000</v>
      </c>
    </row>
    <row r="21" spans="1:8" x14ac:dyDescent="0.2">
      <c r="B21" s="108"/>
      <c r="E21" s="4"/>
      <c r="G21"/>
    </row>
    <row r="22" spans="1:8" x14ac:dyDescent="0.2">
      <c r="B22" s="108" t="s">
        <v>155</v>
      </c>
      <c r="E22" s="4"/>
      <c r="G22">
        <v>175000</v>
      </c>
    </row>
    <row r="23" spans="1:8" x14ac:dyDescent="0.2">
      <c r="C23" s="19"/>
      <c r="D23" s="12"/>
      <c r="E23" s="133" t="s">
        <v>63</v>
      </c>
      <c r="F23" s="133"/>
      <c r="G23" s="23">
        <f>SUM(G10:G22)</f>
        <v>3000012</v>
      </c>
    </row>
    <row r="25" spans="1:8" ht="15.75" x14ac:dyDescent="0.25">
      <c r="F25" s="19" t="s">
        <v>12</v>
      </c>
      <c r="G25" s="26">
        <f>ROUND(G23/100000,2)</f>
        <v>30</v>
      </c>
    </row>
    <row r="26" spans="1:8" ht="15.75" x14ac:dyDescent="0.25">
      <c r="D26" s="3"/>
      <c r="E26" s="11"/>
      <c r="F26" s="17"/>
      <c r="G26" s="20" t="s">
        <v>78</v>
      </c>
    </row>
    <row r="27" spans="1:8" ht="15.75" x14ac:dyDescent="0.25">
      <c r="G27" s="14"/>
    </row>
    <row r="28" spans="1:8" ht="15.75" x14ac:dyDescent="0.25">
      <c r="G28" s="14"/>
    </row>
    <row r="29" spans="1:8" s="24" customFormat="1" ht="15.75" x14ac:dyDescent="0.25">
      <c r="A29" s="16"/>
      <c r="B29"/>
      <c r="C29"/>
      <c r="D29" s="3"/>
      <c r="E29" s="134" t="s">
        <v>1</v>
      </c>
      <c r="F29" s="134"/>
      <c r="G29" s="134"/>
      <c r="H29" s="21"/>
    </row>
    <row r="30" spans="1:8" s="24" customFormat="1" ht="15.75" x14ac:dyDescent="0.25">
      <c r="A30" s="16"/>
      <c r="B30"/>
      <c r="C30"/>
      <c r="D30"/>
      <c r="E30" s="134" t="s">
        <v>103</v>
      </c>
      <c r="F30" s="134"/>
      <c r="G30" s="134"/>
      <c r="H30" s="21"/>
    </row>
    <row r="32" spans="1:8" ht="15.75" x14ac:dyDescent="0.2">
      <c r="E32" s="18"/>
    </row>
    <row r="33" spans="5:5" ht="15.75" x14ac:dyDescent="0.2">
      <c r="E33" s="16"/>
    </row>
  </sheetData>
  <mergeCells count="5">
    <mergeCell ref="E23:F23"/>
    <mergeCell ref="E29:G29"/>
    <mergeCell ref="E30:G30"/>
    <mergeCell ref="B6:E6"/>
    <mergeCell ref="B8:E8"/>
  </mergeCells>
  <phoneticPr fontId="0" type="noConversion"/>
  <printOptions horizontalCentered="1"/>
  <pageMargins left="0.75" right="0.75" top="1" bottom="1" header="0.5" footer="0.5"/>
  <pageSetup paperSize="9" scale="98" fitToHeight="42" orientation="portrait" horizontalDpi="180" verticalDpi="180" r:id="rId1"/>
  <headerFooter alignWithMargins="0">
    <oddFooter>&amp;C&amp;A&amp;RPage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
  <sheetViews>
    <sheetView topLeftCell="A17" zoomScale="75" zoomScaleNormal="100" workbookViewId="0">
      <selection activeCell="C21" sqref="C21"/>
    </sheetView>
    <sheetView topLeftCell="A2" workbookViewId="1">
      <selection activeCell="G7" sqref="G7"/>
    </sheetView>
  </sheetViews>
  <sheetFormatPr defaultRowHeight="15" x14ac:dyDescent="0.2"/>
  <cols>
    <col min="1" max="1" width="8.77734375" style="44" customWidth="1"/>
    <col min="2" max="2" width="35" style="45" customWidth="1"/>
    <col min="3" max="3" width="7.6640625" style="61" bestFit="1" customWidth="1"/>
    <col min="4" max="4" width="6.109375" style="59" customWidth="1"/>
    <col min="5" max="5" width="8.5546875" style="61" customWidth="1"/>
    <col min="6" max="6" width="6.33203125" style="59" bestFit="1" customWidth="1"/>
    <col min="7" max="7" width="10.44140625" style="59" bestFit="1" customWidth="1"/>
    <col min="8" max="8" width="9.77734375" style="43" bestFit="1" customWidth="1"/>
    <col min="9" max="16384" width="8.88671875" style="43"/>
  </cols>
  <sheetData>
    <row r="1" spans="1:7" ht="15" customHeight="1" x14ac:dyDescent="0.2">
      <c r="A1" s="139" t="str">
        <f>'gen-abstract'!A2</f>
        <v>NAME OF WORK :- Construction of Block Level Library Building at Vakhatpura, PS- Arthuna</v>
      </c>
      <c r="B1" s="139"/>
      <c r="C1" s="139"/>
      <c r="D1" s="139"/>
      <c r="E1" s="139"/>
      <c r="F1" s="139"/>
      <c r="G1" s="139"/>
    </row>
    <row r="2" spans="1:7" x14ac:dyDescent="0.2">
      <c r="A2" s="139"/>
      <c r="B2" s="139"/>
      <c r="C2" s="139"/>
      <c r="D2" s="139"/>
      <c r="E2" s="139"/>
      <c r="F2" s="139"/>
      <c r="G2" s="139"/>
    </row>
    <row r="3" spans="1:7" x14ac:dyDescent="0.2">
      <c r="A3" s="137" t="s">
        <v>106</v>
      </c>
      <c r="B3" s="137"/>
      <c r="C3" s="137"/>
      <c r="D3" s="137"/>
      <c r="E3" s="137"/>
      <c r="F3" s="137"/>
      <c r="G3" s="137"/>
    </row>
    <row r="4" spans="1:7" ht="15.75" x14ac:dyDescent="0.25">
      <c r="A4" s="138" t="s">
        <v>13</v>
      </c>
      <c r="B4" s="138"/>
      <c r="C4" s="138"/>
      <c r="D4" s="138"/>
      <c r="E4" s="138"/>
      <c r="F4" s="138"/>
      <c r="G4" s="138"/>
    </row>
    <row r="5" spans="1:7" x14ac:dyDescent="0.2">
      <c r="A5" s="39" t="s">
        <v>14</v>
      </c>
      <c r="B5" s="112" t="s">
        <v>15</v>
      </c>
      <c r="C5" s="54" t="s">
        <v>16</v>
      </c>
      <c r="D5" s="39"/>
      <c r="E5" s="54" t="s">
        <v>17</v>
      </c>
      <c r="F5" s="39" t="s">
        <v>18</v>
      </c>
      <c r="G5" s="55" t="s">
        <v>19</v>
      </c>
    </row>
    <row r="6" spans="1:7" s="48" customFormat="1" ht="165" x14ac:dyDescent="0.2">
      <c r="A6" s="40">
        <v>1</v>
      </c>
      <c r="B6" s="41" t="s">
        <v>108</v>
      </c>
      <c r="C6" s="56">
        <f>GF1_MES!K27</f>
        <v>135.96750000000003</v>
      </c>
      <c r="D6" s="42" t="s">
        <v>20</v>
      </c>
      <c r="E6" s="40">
        <v>178</v>
      </c>
      <c r="F6" s="42" t="s">
        <v>21</v>
      </c>
      <c r="G6" s="56">
        <f t="shared" ref="G6:G36" si="0">C6*E6</f>
        <v>24202.215000000004</v>
      </c>
    </row>
    <row r="7" spans="1:7" ht="111" customHeight="1" x14ac:dyDescent="0.2">
      <c r="A7" s="40">
        <f>LOOKUP(2,1/(A$1:A6&lt;&gt;""),A$1:A6)+1</f>
        <v>2</v>
      </c>
      <c r="B7" s="41" t="s">
        <v>80</v>
      </c>
      <c r="C7" s="56">
        <f>GF1_MES!K33</f>
        <v>34.992000000000004</v>
      </c>
      <c r="D7" s="42" t="s">
        <v>20</v>
      </c>
      <c r="E7" s="40">
        <v>64</v>
      </c>
      <c r="F7" s="42" t="s">
        <v>21</v>
      </c>
      <c r="G7" s="56">
        <f t="shared" si="0"/>
        <v>2239.4880000000003</v>
      </c>
    </row>
    <row r="8" spans="1:7" ht="105" x14ac:dyDescent="0.2">
      <c r="A8" s="40">
        <f>LOOKUP(2,1/(A$1:A7&lt;&gt;""),A$1:A7)+1</f>
        <v>3</v>
      </c>
      <c r="B8" s="41" t="s">
        <v>81</v>
      </c>
      <c r="C8" s="56">
        <f>GF1_MES!K38</f>
        <v>26.0595</v>
      </c>
      <c r="D8" s="42" t="s">
        <v>20</v>
      </c>
      <c r="E8" s="40">
        <v>3302</v>
      </c>
      <c r="F8" s="42" t="s">
        <v>21</v>
      </c>
      <c r="G8" s="56">
        <f t="shared" si="0"/>
        <v>86048.468999999997</v>
      </c>
    </row>
    <row r="9" spans="1:7" ht="135" x14ac:dyDescent="0.2">
      <c r="A9" s="40">
        <f>LOOKUP(2,1/(A$1:A8&lt;&gt;""),A$1:A8)+1</f>
        <v>4</v>
      </c>
      <c r="B9" s="41" t="s">
        <v>82</v>
      </c>
      <c r="C9" s="56">
        <f>GF1_MES!K43</f>
        <v>30.963500000000003</v>
      </c>
      <c r="D9" s="42" t="s">
        <v>20</v>
      </c>
      <c r="E9" s="40">
        <f>4934+69</f>
        <v>5003</v>
      </c>
      <c r="F9" s="42" t="s">
        <v>21</v>
      </c>
      <c r="G9" s="56">
        <f t="shared" si="0"/>
        <v>154910.39050000001</v>
      </c>
    </row>
    <row r="10" spans="1:7" ht="90" x14ac:dyDescent="0.2">
      <c r="A10" s="40">
        <f>LOOKUP(2,1/(A$1:A9&lt;&gt;""),A$1:A9)+1</f>
        <v>5</v>
      </c>
      <c r="B10" s="41" t="s">
        <v>83</v>
      </c>
      <c r="C10" s="56">
        <f>GF1_MES!K47</f>
        <v>85.72</v>
      </c>
      <c r="D10" s="42" t="s">
        <v>22</v>
      </c>
      <c r="E10" s="40">
        <v>157</v>
      </c>
      <c r="F10" s="42" t="s">
        <v>23</v>
      </c>
      <c r="G10" s="56">
        <f t="shared" si="0"/>
        <v>13458.039999999999</v>
      </c>
    </row>
    <row r="11" spans="1:7" ht="135" x14ac:dyDescent="0.2">
      <c r="A11" s="40">
        <f>LOOKUP(2,1/(A$1:A10&lt;&gt;""),A$1:A10)+1</f>
        <v>6</v>
      </c>
      <c r="B11" s="41" t="s">
        <v>122</v>
      </c>
      <c r="C11" s="130">
        <f>GF1_MES!K56</f>
        <v>21.324859999999997</v>
      </c>
      <c r="D11" s="40" t="s">
        <v>20</v>
      </c>
      <c r="E11" s="40">
        <v>5185</v>
      </c>
      <c r="F11" s="40" t="s">
        <v>21</v>
      </c>
      <c r="G11" s="40">
        <f t="shared" si="0"/>
        <v>110569.39909999998</v>
      </c>
    </row>
    <row r="12" spans="1:7" s="131" customFormat="1" ht="176.25" customHeight="1" x14ac:dyDescent="0.25">
      <c r="A12" s="40">
        <f>LOOKUP(2,1/(A$1:A11&lt;&gt;""),A$1:A11)+1</f>
        <v>7</v>
      </c>
      <c r="B12" s="132" t="s">
        <v>144</v>
      </c>
      <c r="C12" s="130">
        <f>GF1_MES!K59</f>
        <v>3.8880000000000003</v>
      </c>
      <c r="D12" s="40" t="s">
        <v>20</v>
      </c>
      <c r="E12" s="40">
        <v>5609</v>
      </c>
      <c r="F12" s="40" t="s">
        <v>21</v>
      </c>
      <c r="G12" s="40">
        <f t="shared" ref="G12" si="1">C12*E12</f>
        <v>21807.792000000001</v>
      </c>
    </row>
    <row r="13" spans="1:7" ht="90" x14ac:dyDescent="0.2">
      <c r="A13" s="40">
        <f>LOOKUP(2,1/(A$1:A12&lt;&gt;""),A$1:A12)+1</f>
        <v>8</v>
      </c>
      <c r="B13" s="41" t="s">
        <v>111</v>
      </c>
      <c r="C13" s="40"/>
      <c r="D13" s="40"/>
      <c r="E13" s="40"/>
      <c r="F13" s="40"/>
      <c r="G13" s="40"/>
    </row>
    <row r="14" spans="1:7" ht="75" x14ac:dyDescent="0.2">
      <c r="A14" s="40"/>
      <c r="B14" s="41" t="s">
        <v>112</v>
      </c>
      <c r="C14" s="56">
        <f>GF1_MES!K73</f>
        <v>181.26739999999998</v>
      </c>
      <c r="D14" s="40" t="s">
        <v>22</v>
      </c>
      <c r="E14" s="40">
        <v>340</v>
      </c>
      <c r="F14" s="40" t="s">
        <v>23</v>
      </c>
      <c r="G14" s="56">
        <f t="shared" si="0"/>
        <v>61630.91599999999</v>
      </c>
    </row>
    <row r="15" spans="1:7" x14ac:dyDescent="0.2">
      <c r="A15" s="40"/>
      <c r="B15" s="41" t="s">
        <v>113</v>
      </c>
      <c r="C15" s="56">
        <f>GF1_MES!K77</f>
        <v>9.7200000000000006</v>
      </c>
      <c r="D15" s="40" t="s">
        <v>22</v>
      </c>
      <c r="E15" s="40">
        <v>375</v>
      </c>
      <c r="F15" s="40" t="s">
        <v>23</v>
      </c>
      <c r="G15" s="56">
        <f t="shared" si="0"/>
        <v>3645.0000000000005</v>
      </c>
    </row>
    <row r="16" spans="1:7" ht="103.5" customHeight="1" x14ac:dyDescent="0.2">
      <c r="A16" s="40">
        <f>LOOKUP(2,1/(A$1:A15&lt;&gt;""),A$1:A15)+1</f>
        <v>9</v>
      </c>
      <c r="B16" s="41" t="s">
        <v>84</v>
      </c>
      <c r="C16" s="57">
        <f>GF1_MES!K82</f>
        <v>4917.8220000000001</v>
      </c>
      <c r="D16" s="42" t="s">
        <v>24</v>
      </c>
      <c r="E16" s="40">
        <v>77</v>
      </c>
      <c r="F16" s="42" t="s">
        <v>25</v>
      </c>
      <c r="G16" s="56">
        <f t="shared" si="0"/>
        <v>378672.29399999999</v>
      </c>
    </row>
    <row r="17" spans="1:9" ht="75" x14ac:dyDescent="0.2">
      <c r="A17" s="40">
        <f>LOOKUP(2,1/(A$1:A16&lt;&gt;""),A$1:A16)+1</f>
        <v>10</v>
      </c>
      <c r="B17" s="41" t="s">
        <v>109</v>
      </c>
      <c r="C17" s="56">
        <f>GF1_MES!K92</f>
        <v>22.286999999999999</v>
      </c>
      <c r="D17" s="42" t="s">
        <v>20</v>
      </c>
      <c r="E17" s="40">
        <v>4990</v>
      </c>
      <c r="F17" s="42" t="s">
        <v>21</v>
      </c>
      <c r="G17" s="56">
        <f t="shared" si="0"/>
        <v>111212.12999999999</v>
      </c>
    </row>
    <row r="18" spans="1:9" ht="60" x14ac:dyDescent="0.2">
      <c r="A18" s="40">
        <f>LOOKUP(2,1/(A$1:A17&lt;&gt;""),A$1:A17)+1</f>
        <v>11</v>
      </c>
      <c r="B18" s="41" t="s">
        <v>145</v>
      </c>
      <c r="C18" s="56">
        <f>GF1_MES!K95</f>
        <v>35.099999999999994</v>
      </c>
      <c r="D18" s="40" t="s">
        <v>22</v>
      </c>
      <c r="E18" s="40">
        <v>526</v>
      </c>
      <c r="F18" s="40" t="s">
        <v>23</v>
      </c>
      <c r="G18" s="40">
        <f t="shared" si="0"/>
        <v>18462.599999999999</v>
      </c>
    </row>
    <row r="19" spans="1:9" ht="81.75" customHeight="1" x14ac:dyDescent="0.2">
      <c r="A19" s="40">
        <f>LOOKUP(2,1/(A$1:A18&lt;&gt;""),A$1:A18)+1</f>
        <v>12</v>
      </c>
      <c r="B19" s="41" t="s">
        <v>110</v>
      </c>
      <c r="C19" s="56">
        <f>GF1_MES!K97</f>
        <v>17.010000000000002</v>
      </c>
      <c r="D19" s="42" t="s">
        <v>20</v>
      </c>
      <c r="E19" s="40">
        <v>2838</v>
      </c>
      <c r="F19" s="42" t="s">
        <v>21</v>
      </c>
      <c r="G19" s="56">
        <f t="shared" si="0"/>
        <v>48274.380000000005</v>
      </c>
    </row>
    <row r="20" spans="1:9" s="53" customFormat="1" ht="45" x14ac:dyDescent="0.2">
      <c r="A20" s="40">
        <f>LOOKUP(2,1/(A$1:A19&lt;&gt;""),A$1:A19)+1</f>
        <v>13</v>
      </c>
      <c r="B20" s="46" t="s">
        <v>67</v>
      </c>
      <c r="C20" s="56">
        <f>GF1_MES!K117</f>
        <v>380.34</v>
      </c>
      <c r="D20" s="40" t="s">
        <v>22</v>
      </c>
      <c r="E20" s="56">
        <v>190</v>
      </c>
      <c r="F20" s="58" t="s">
        <v>23</v>
      </c>
      <c r="G20" s="56">
        <f>IF(C20,ROUNDUP(C20*E20,0),"")</f>
        <v>72265</v>
      </c>
    </row>
    <row r="21" spans="1:9" ht="30" x14ac:dyDescent="0.2">
      <c r="A21" s="40">
        <f>LOOKUP(2,1/(A$1:A20&lt;&gt;""),A$1:A20)+1</f>
        <v>14</v>
      </c>
      <c r="B21" s="41" t="s">
        <v>121</v>
      </c>
      <c r="C21" s="56">
        <f>GF1_MES!K122</f>
        <v>100.8</v>
      </c>
      <c r="D21" s="40" t="s">
        <v>22</v>
      </c>
      <c r="E21" s="56">
        <v>139</v>
      </c>
      <c r="F21" s="40" t="s">
        <v>23</v>
      </c>
      <c r="G21" s="40">
        <f>IF(C21,ROUNDUP(C21*E21,0),"")</f>
        <v>14012</v>
      </c>
    </row>
    <row r="22" spans="1:9" ht="30" x14ac:dyDescent="0.2">
      <c r="A22" s="40">
        <f>LOOKUP(2,1/(A$1:A21&lt;&gt;""),A$1:A21)+1</f>
        <v>15</v>
      </c>
      <c r="B22" s="41" t="s">
        <v>120</v>
      </c>
      <c r="C22" s="56">
        <f>GF1_MES!K126</f>
        <v>174</v>
      </c>
      <c r="D22" s="40" t="s">
        <v>29</v>
      </c>
      <c r="E22" s="56">
        <v>7</v>
      </c>
      <c r="F22" s="40" t="s">
        <v>116</v>
      </c>
      <c r="G22" s="40">
        <f t="shared" ref="G22:G23" si="2">IF(C22,ROUNDUP(C22*E22,0),"")</f>
        <v>1218</v>
      </c>
    </row>
    <row r="23" spans="1:9" ht="45" x14ac:dyDescent="0.2">
      <c r="A23" s="40">
        <f>LOOKUP(2,1/(A$1:A22&lt;&gt;""),A$1:A22)+1</f>
        <v>16</v>
      </c>
      <c r="B23" s="41" t="s">
        <v>119</v>
      </c>
      <c r="C23" s="56">
        <f>GF1_MES!K129</f>
        <v>197.64</v>
      </c>
      <c r="D23" s="40" t="s">
        <v>22</v>
      </c>
      <c r="E23" s="56">
        <v>84</v>
      </c>
      <c r="F23" s="40" t="s">
        <v>23</v>
      </c>
      <c r="G23" s="40">
        <f t="shared" si="2"/>
        <v>16602</v>
      </c>
    </row>
    <row r="24" spans="1:9" ht="220.5" customHeight="1" x14ac:dyDescent="0.2">
      <c r="A24" s="40">
        <f>LOOKUP(2,1/(A$1:A23&lt;&gt;""),A$1:A23)+1</f>
        <v>17</v>
      </c>
      <c r="B24" s="41" t="s">
        <v>107</v>
      </c>
      <c r="C24" s="56">
        <f>GF1_MES!K133</f>
        <v>138.12029999999999</v>
      </c>
      <c r="D24" s="42" t="s">
        <v>24</v>
      </c>
      <c r="E24" s="40">
        <v>83</v>
      </c>
      <c r="F24" s="42" t="s">
        <v>25</v>
      </c>
      <c r="G24" s="56">
        <f t="shared" si="0"/>
        <v>11463.984899999999</v>
      </c>
    </row>
    <row r="25" spans="1:9" s="49" customFormat="1" ht="315" x14ac:dyDescent="0.25">
      <c r="A25" s="40">
        <f>LOOKUP(2,1/(A$1:A24&lt;&gt;""),A$1:A24)+1</f>
        <v>18</v>
      </c>
      <c r="B25" s="41" t="s">
        <v>86</v>
      </c>
      <c r="C25" s="56">
        <f>GF1_MES!K136</f>
        <v>19.439999999999998</v>
      </c>
      <c r="D25" s="42" t="s">
        <v>22</v>
      </c>
      <c r="E25" s="40">
        <v>3090</v>
      </c>
      <c r="F25" s="58" t="s">
        <v>23</v>
      </c>
      <c r="G25" s="56">
        <f t="shared" si="0"/>
        <v>60069.599999999991</v>
      </c>
    </row>
    <row r="26" spans="1:9" s="49" customFormat="1" ht="75" x14ac:dyDescent="0.25">
      <c r="A26" s="40">
        <f>LOOKUP(2,1/(A$1:A25&lt;&gt;""),A$1:A25)+1</f>
        <v>19</v>
      </c>
      <c r="B26" s="41" t="s">
        <v>87</v>
      </c>
      <c r="C26" s="56">
        <f>GF1_MES!K143</f>
        <v>1.944</v>
      </c>
      <c r="D26" s="42" t="s">
        <v>22</v>
      </c>
      <c r="E26" s="40">
        <v>617</v>
      </c>
      <c r="F26" s="40" t="s">
        <v>23</v>
      </c>
      <c r="G26" s="56">
        <f t="shared" si="0"/>
        <v>1199.4479999999999</v>
      </c>
    </row>
    <row r="27" spans="1:9" ht="90" x14ac:dyDescent="0.2">
      <c r="A27" s="40">
        <f>LOOKUP(2,1/(A$1:A26&lt;&gt;""),A$1:A26)+1</f>
        <v>20</v>
      </c>
      <c r="B27" s="41" t="s">
        <v>124</v>
      </c>
      <c r="C27" s="56">
        <f>GF1_MES!K158</f>
        <v>176.4</v>
      </c>
      <c r="D27" s="40" t="s">
        <v>24</v>
      </c>
      <c r="E27" s="56">
        <v>81</v>
      </c>
      <c r="F27" s="40" t="s">
        <v>25</v>
      </c>
      <c r="G27" s="56">
        <f t="shared" si="0"/>
        <v>14288.4</v>
      </c>
    </row>
    <row r="28" spans="1:9" ht="409.5" x14ac:dyDescent="0.2">
      <c r="A28" s="40">
        <f>LOOKUP(2,1/(A$1:A27&lt;&gt;""),A$1:A27)+1</f>
        <v>21</v>
      </c>
      <c r="B28" s="41" t="s">
        <v>123</v>
      </c>
      <c r="C28" s="56">
        <f>GF1_MES!K161</f>
        <v>2.16</v>
      </c>
      <c r="D28" s="40" t="s">
        <v>22</v>
      </c>
      <c r="E28" s="56">
        <v>3347</v>
      </c>
      <c r="F28" s="40" t="s">
        <v>23</v>
      </c>
      <c r="G28" s="56">
        <f t="shared" si="0"/>
        <v>7229.52</v>
      </c>
    </row>
    <row r="29" spans="1:9" s="48" customFormat="1" ht="30" x14ac:dyDescent="0.2">
      <c r="A29" s="40">
        <f>LOOKUP(2,1/(A$1:A28&lt;&gt;""),A$1:A28)+1</f>
        <v>22</v>
      </c>
      <c r="B29" s="41" t="s">
        <v>88</v>
      </c>
      <c r="C29" s="56">
        <f>GF1_MES!K140</f>
        <v>183.05999999999997</v>
      </c>
      <c r="D29" s="42" t="s">
        <v>24</v>
      </c>
      <c r="E29" s="40">
        <v>65</v>
      </c>
      <c r="F29" s="40" t="s">
        <v>25</v>
      </c>
      <c r="G29" s="56">
        <f t="shared" si="0"/>
        <v>11898.899999999998</v>
      </c>
      <c r="I29" s="50"/>
    </row>
    <row r="30" spans="1:9" ht="105" x14ac:dyDescent="0.2">
      <c r="A30" s="40">
        <f>LOOKUP(2,1/(A$1:A29&lt;&gt;""),A$1:A29)+1</f>
        <v>23</v>
      </c>
      <c r="B30" s="41" t="s">
        <v>89</v>
      </c>
      <c r="C30" s="56">
        <f>GF1_MES!K146</f>
        <v>90</v>
      </c>
      <c r="D30" s="42" t="s">
        <v>22</v>
      </c>
      <c r="E30" s="40">
        <v>1023</v>
      </c>
      <c r="F30" s="40" t="s">
        <v>23</v>
      </c>
      <c r="G30" s="56">
        <f t="shared" si="0"/>
        <v>92070</v>
      </c>
    </row>
    <row r="31" spans="1:9" ht="30" x14ac:dyDescent="0.2">
      <c r="A31" s="40">
        <f>LOOKUP(2,1/(A$1:A30&lt;&gt;""),A$1:A30)+1</f>
        <v>24</v>
      </c>
      <c r="B31" s="41" t="s">
        <v>90</v>
      </c>
      <c r="C31" s="56">
        <f>GF1_MES!K150</f>
        <v>17.5</v>
      </c>
      <c r="D31" s="42" t="s">
        <v>20</v>
      </c>
      <c r="E31" s="40">
        <v>932</v>
      </c>
      <c r="F31" s="42" t="s">
        <v>21</v>
      </c>
      <c r="G31" s="56">
        <f t="shared" si="0"/>
        <v>16310</v>
      </c>
    </row>
    <row r="32" spans="1:9" ht="150" x14ac:dyDescent="0.2">
      <c r="A32" s="40">
        <f>LOOKUP(2,1/(A$1:A31&lt;&gt;""),A$1:A31)+1</f>
        <v>25</v>
      </c>
      <c r="B32" s="41" t="s">
        <v>118</v>
      </c>
      <c r="C32" s="56">
        <f>GF1_MES!K165</f>
        <v>27.300000000000004</v>
      </c>
      <c r="D32" s="40" t="s">
        <v>22</v>
      </c>
      <c r="E32" s="40">
        <v>674</v>
      </c>
      <c r="F32" s="40" t="s">
        <v>23</v>
      </c>
      <c r="G32" s="56">
        <f t="shared" si="0"/>
        <v>18400.200000000004</v>
      </c>
    </row>
    <row r="33" spans="1:7" ht="45" x14ac:dyDescent="0.2">
      <c r="A33" s="40">
        <f>LOOKUP(2,1/(A$1:A31&lt;&gt;""),A$1:A31)+1</f>
        <v>25</v>
      </c>
      <c r="B33" s="47" t="s">
        <v>8</v>
      </c>
      <c r="C33" s="56">
        <f>GF1_MES!K168</f>
        <v>197.64</v>
      </c>
      <c r="D33" s="40" t="s">
        <v>22</v>
      </c>
      <c r="E33" s="56">
        <v>11</v>
      </c>
      <c r="F33" s="58" t="s">
        <v>23</v>
      </c>
      <c r="G33" s="56">
        <f t="shared" si="0"/>
        <v>2174.04</v>
      </c>
    </row>
    <row r="34" spans="1:7" ht="60" x14ac:dyDescent="0.2">
      <c r="A34" s="40">
        <f>LOOKUP(2,1/(A$1:A33&lt;&gt;""),A$1:A33)+1</f>
        <v>26</v>
      </c>
      <c r="B34" s="46" t="s">
        <v>68</v>
      </c>
      <c r="C34" s="56">
        <f>GF1_MES!K172</f>
        <v>182.7</v>
      </c>
      <c r="D34" s="40" t="s">
        <v>22</v>
      </c>
      <c r="E34" s="56">
        <v>14</v>
      </c>
      <c r="F34" s="58" t="s">
        <v>23</v>
      </c>
      <c r="G34" s="56">
        <f t="shared" si="0"/>
        <v>2557.7999999999997</v>
      </c>
    </row>
    <row r="35" spans="1:7" ht="60" x14ac:dyDescent="0.2">
      <c r="A35" s="40">
        <f>LOOKUP(2,1/(A$1:A34&lt;&gt;""),A$1:A34)+1</f>
        <v>27</v>
      </c>
      <c r="B35" s="41" t="s">
        <v>65</v>
      </c>
      <c r="C35" s="56">
        <f>GF1_MES!K177</f>
        <v>78.894000000000005</v>
      </c>
      <c r="D35" s="40" t="s">
        <v>22</v>
      </c>
      <c r="E35" s="56">
        <v>29</v>
      </c>
      <c r="F35" s="58" t="s">
        <v>23</v>
      </c>
      <c r="G35" s="56">
        <f t="shared" si="0"/>
        <v>2287.9260000000004</v>
      </c>
    </row>
    <row r="36" spans="1:7" ht="45" x14ac:dyDescent="0.2">
      <c r="A36" s="40">
        <f>LOOKUP(2,1/(A$1:A35&lt;&gt;""),A$1:A35)+1</f>
        <v>28</v>
      </c>
      <c r="B36" s="46" t="s">
        <v>30</v>
      </c>
      <c r="C36" s="56">
        <f>GF1_MES!K180</f>
        <v>78.894000000000005</v>
      </c>
      <c r="D36" s="40" t="s">
        <v>22</v>
      </c>
      <c r="E36" s="56">
        <v>69</v>
      </c>
      <c r="F36" s="58" t="s">
        <v>23</v>
      </c>
      <c r="G36" s="56">
        <f t="shared" si="0"/>
        <v>5443.6860000000006</v>
      </c>
    </row>
    <row r="37" spans="1:7" x14ac:dyDescent="0.2">
      <c r="C37" s="59"/>
      <c r="E37" s="60" t="s">
        <v>31</v>
      </c>
      <c r="F37" s="60" t="s">
        <v>10</v>
      </c>
      <c r="G37" s="60">
        <f>SUM(G1:G36)</f>
        <v>1384623.6184999999</v>
      </c>
    </row>
    <row r="38" spans="1:7" x14ac:dyDescent="0.2">
      <c r="C38" s="59"/>
      <c r="F38" s="61"/>
      <c r="G38" s="61"/>
    </row>
    <row r="39" spans="1:7" x14ac:dyDescent="0.2">
      <c r="C39" s="59"/>
      <c r="F39" s="61"/>
      <c r="G39" s="61"/>
    </row>
    <row r="40" spans="1:7" ht="15.75" x14ac:dyDescent="0.2">
      <c r="A40" s="51"/>
      <c r="B40" s="52"/>
      <c r="C40" s="59"/>
      <c r="D40" s="62" t="s">
        <v>1</v>
      </c>
      <c r="E40" s="59"/>
      <c r="F40" s="62"/>
      <c r="G40" s="62"/>
    </row>
    <row r="41" spans="1:7" ht="15.75" x14ac:dyDescent="0.2">
      <c r="A41" s="51"/>
      <c r="B41" s="52"/>
      <c r="C41" s="59"/>
      <c r="D41" s="62" t="s">
        <v>103</v>
      </c>
      <c r="E41" s="59"/>
      <c r="F41" s="62"/>
      <c r="G41" s="62"/>
    </row>
  </sheetData>
  <mergeCells count="3">
    <mergeCell ref="A3:G3"/>
    <mergeCell ref="A4:G4"/>
    <mergeCell ref="A1:G2"/>
  </mergeCells>
  <phoneticPr fontId="0" type="noConversion"/>
  <dataValidations count="4">
    <dataValidation type="decimal" allowBlank="1" showInputMessage="1" showErrorMessage="1" errorTitle="Invalid Entry" error="Only Numeric Values are allowed. " promptTitle="Quantity" prompt="Please enter the Quantity for this item. " sqref="C6 C19:C20 C8:C10 C16:C17 C25:C26 C29:C31">
      <formula1>0</formula1>
      <formula2>999999999999999</formula2>
    </dataValidation>
    <dataValidation type="decimal" allowBlank="1" showInputMessage="1" showErrorMessage="1" errorTitle="Invalid Entry" error="Only Numeric Values are allowed. " sqref="C7 C24 E24 E7">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6 E29:E31 E19 E8:E10 E16:E17 E25:E26">
      <formula1>0</formula1>
      <formula2>999999999999999</formula2>
    </dataValidation>
    <dataValidation type="decimal" allowBlank="1" showInputMessage="1" showErrorMessage="1" errorTitle="Invalid Entry" error="Only Numeric Values are allowed." sqref="A6:A36">
      <formula1>0</formula1>
      <formula2>999999999999999</formula2>
    </dataValidation>
  </dataValidations>
  <printOptions horizontalCentered="1"/>
  <pageMargins left="0.75" right="0.75" top="0.76" bottom="1" header="0.5" footer="0.5"/>
  <pageSetup paperSize="9" scale="87" fitToHeight="22" orientation="portrait" horizontalDpi="180" verticalDpi="180" r:id="rId1"/>
  <headerFooter alignWithMargins="0">
    <oddFooter>&amp;C&amp;A&amp;R&amp;P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85"/>
  <sheetViews>
    <sheetView tabSelected="1" topLeftCell="A145" zoomScaleNormal="75" zoomScaleSheetLayoutView="75" workbookViewId="0">
      <selection activeCell="E146" sqref="E146"/>
    </sheetView>
    <sheetView topLeftCell="A165" workbookViewId="1">
      <selection activeCell="A173" sqref="A173"/>
    </sheetView>
  </sheetViews>
  <sheetFormatPr defaultRowHeight="14.25" x14ac:dyDescent="0.2"/>
  <cols>
    <col min="1" max="1" width="3.88671875" style="80" bestFit="1" customWidth="1"/>
    <col min="2" max="2" width="33" style="106" customWidth="1"/>
    <col min="3" max="3" width="4.77734375" style="34" bestFit="1" customWidth="1"/>
    <col min="4" max="4" width="1.5546875" style="36" customWidth="1"/>
    <col min="5" max="5" width="6.44140625" style="38" bestFit="1" customWidth="1"/>
    <col min="6" max="6" width="1.88671875" style="36" customWidth="1"/>
    <col min="7" max="7" width="5.88671875" style="89" customWidth="1"/>
    <col min="8" max="8" width="4" style="36" customWidth="1"/>
    <col min="9" max="9" width="3.77734375" style="38" customWidth="1"/>
    <col min="10" max="10" width="3.21875" style="36" bestFit="1" customWidth="1"/>
    <col min="11" max="11" width="7" style="38" customWidth="1"/>
    <col min="12" max="12" width="4.44140625" style="36" bestFit="1" customWidth="1"/>
    <col min="13" max="16384" width="8.88671875" style="36"/>
  </cols>
  <sheetData>
    <row r="1" spans="1:13" s="63" customFormat="1" x14ac:dyDescent="0.2">
      <c r="A1" s="144" t="str">
        <f>'gen-abstract'!A2</f>
        <v>NAME OF WORK :- Construction of Block Level Library Building at Vakhatpura, PS- Arthuna</v>
      </c>
      <c r="B1" s="144"/>
      <c r="C1" s="144"/>
      <c r="D1" s="144"/>
      <c r="E1" s="144"/>
      <c r="F1" s="144"/>
      <c r="G1" s="144"/>
      <c r="H1" s="144"/>
      <c r="I1" s="144"/>
      <c r="J1" s="144"/>
      <c r="K1" s="144"/>
      <c r="L1" s="144"/>
    </row>
    <row r="2" spans="1:13" s="63" customFormat="1" x14ac:dyDescent="0.2">
      <c r="A2" s="144"/>
      <c r="B2" s="144"/>
      <c r="C2" s="144"/>
      <c r="D2" s="144"/>
      <c r="E2" s="144"/>
      <c r="F2" s="144"/>
      <c r="G2" s="144"/>
      <c r="H2" s="144"/>
      <c r="I2" s="144"/>
      <c r="J2" s="144"/>
      <c r="K2" s="144"/>
      <c r="L2" s="144"/>
    </row>
    <row r="3" spans="1:13" s="63" customFormat="1" ht="15" x14ac:dyDescent="0.2">
      <c r="A3" s="141" t="s">
        <v>94</v>
      </c>
      <c r="B3" s="141"/>
      <c r="C3" s="141"/>
      <c r="D3" s="141"/>
      <c r="E3" s="141"/>
      <c r="F3" s="141"/>
      <c r="G3" s="141"/>
      <c r="H3" s="141"/>
      <c r="I3" s="141"/>
      <c r="J3" s="141"/>
      <c r="K3" s="141"/>
      <c r="L3" s="141"/>
    </row>
    <row r="4" spans="1:13" s="63" customFormat="1" x14ac:dyDescent="0.2">
      <c r="A4" s="142" t="s">
        <v>32</v>
      </c>
      <c r="B4" s="142"/>
      <c r="C4" s="142"/>
      <c r="D4" s="142"/>
      <c r="E4" s="142"/>
      <c r="F4" s="142"/>
      <c r="G4" s="142"/>
      <c r="H4" s="142"/>
      <c r="I4" s="142"/>
      <c r="J4" s="142"/>
      <c r="K4" s="142"/>
      <c r="L4" s="142"/>
    </row>
    <row r="5" spans="1:13" s="67" customFormat="1" x14ac:dyDescent="0.2">
      <c r="A5" s="64" t="s">
        <v>33</v>
      </c>
      <c r="B5" s="65" t="s">
        <v>34</v>
      </c>
      <c r="C5" s="64" t="s">
        <v>35</v>
      </c>
      <c r="D5" s="64"/>
      <c r="E5" s="66" t="s">
        <v>36</v>
      </c>
      <c r="F5" s="64"/>
      <c r="G5" s="66" t="s">
        <v>37</v>
      </c>
      <c r="H5" s="66"/>
      <c r="I5" s="66" t="s">
        <v>38</v>
      </c>
      <c r="J5" s="66"/>
      <c r="K5" s="66" t="s">
        <v>39</v>
      </c>
      <c r="L5" s="66" t="s">
        <v>40</v>
      </c>
    </row>
    <row r="6" spans="1:13" s="63" customFormat="1" x14ac:dyDescent="0.2">
      <c r="A6" s="67"/>
      <c r="B6" s="69" t="s">
        <v>66</v>
      </c>
      <c r="C6" s="110"/>
      <c r="E6" s="70"/>
      <c r="G6" s="71"/>
    </row>
    <row r="7" spans="1:13" s="63" customFormat="1" ht="15" x14ac:dyDescent="0.2">
      <c r="A7" s="67"/>
      <c r="B7" s="72" t="s">
        <v>91</v>
      </c>
      <c r="C7" s="110"/>
      <c r="E7" s="70"/>
      <c r="G7" s="71"/>
    </row>
    <row r="8" spans="1:13" s="63" customFormat="1" ht="30" x14ac:dyDescent="0.2">
      <c r="A8" s="67"/>
      <c r="B8" s="72" t="s">
        <v>93</v>
      </c>
      <c r="C8" s="110"/>
      <c r="E8" s="70"/>
      <c r="G8" s="71"/>
    </row>
    <row r="9" spans="1:13" s="63" customFormat="1" ht="15" x14ac:dyDescent="0.2">
      <c r="A9" s="102"/>
      <c r="B9" s="74"/>
      <c r="C9" s="109">
        <v>2</v>
      </c>
      <c r="D9" s="63" t="s">
        <v>41</v>
      </c>
      <c r="E9" s="107">
        <v>6</v>
      </c>
      <c r="G9" s="71"/>
      <c r="I9" s="70"/>
      <c r="J9" s="75" t="s">
        <v>42</v>
      </c>
      <c r="K9" s="70">
        <f t="shared" ref="K9:K10" si="0">IF(C9,C9*E9,"")</f>
        <v>12</v>
      </c>
      <c r="L9" s="68" t="s">
        <v>29</v>
      </c>
      <c r="M9" s="70"/>
    </row>
    <row r="10" spans="1:13" s="63" customFormat="1" ht="15" x14ac:dyDescent="0.2">
      <c r="A10" s="102"/>
      <c r="C10" s="109">
        <v>2</v>
      </c>
      <c r="D10" s="63" t="s">
        <v>41</v>
      </c>
      <c r="E10" s="107">
        <v>15</v>
      </c>
      <c r="G10" s="71"/>
      <c r="I10" s="70"/>
      <c r="J10" s="75" t="s">
        <v>42</v>
      </c>
      <c r="K10" s="70">
        <f t="shared" si="0"/>
        <v>30</v>
      </c>
      <c r="L10" s="68" t="s">
        <v>29</v>
      </c>
      <c r="M10" s="70"/>
    </row>
    <row r="11" spans="1:13" s="63" customFormat="1" x14ac:dyDescent="0.2">
      <c r="A11" s="102"/>
      <c r="B11" s="74"/>
      <c r="C11" s="109"/>
      <c r="E11" s="70"/>
      <c r="G11" s="71"/>
      <c r="I11" s="76" t="s">
        <v>64</v>
      </c>
      <c r="J11" s="77" t="s">
        <v>42</v>
      </c>
      <c r="K11" s="76">
        <f>SUM(K9:K10)</f>
        <v>42</v>
      </c>
      <c r="L11" s="78" t="s">
        <v>29</v>
      </c>
    </row>
    <row r="12" spans="1:13" s="63" customFormat="1" x14ac:dyDescent="0.2">
      <c r="A12" s="102"/>
      <c r="B12" s="74"/>
      <c r="C12" s="109"/>
      <c r="E12" s="70"/>
      <c r="G12" s="71"/>
      <c r="I12" s="38"/>
      <c r="J12" s="79"/>
      <c r="K12" s="38"/>
      <c r="L12" s="80"/>
    </row>
    <row r="13" spans="1:13" s="63" customFormat="1" ht="15" x14ac:dyDescent="0.2">
      <c r="A13" s="67"/>
      <c r="B13" s="72" t="s">
        <v>2</v>
      </c>
      <c r="C13" s="110"/>
      <c r="E13" s="70"/>
      <c r="G13" s="71"/>
    </row>
    <row r="14" spans="1:13" s="63" customFormat="1" x14ac:dyDescent="0.2">
      <c r="A14" s="102"/>
      <c r="B14" s="74" t="s">
        <v>92</v>
      </c>
      <c r="C14" s="109">
        <v>1</v>
      </c>
      <c r="D14" s="63" t="s">
        <v>41</v>
      </c>
      <c r="E14" s="70">
        <f>K11</f>
        <v>42</v>
      </c>
      <c r="G14" s="71"/>
      <c r="I14" s="70"/>
      <c r="J14" s="75" t="s">
        <v>42</v>
      </c>
      <c r="K14" s="70">
        <f t="shared" ref="K14" si="1">IF(C14,C14*E14,"")</f>
        <v>42</v>
      </c>
      <c r="L14" s="68" t="s">
        <v>29</v>
      </c>
    </row>
    <row r="15" spans="1:13" s="63" customFormat="1" x14ac:dyDescent="0.2">
      <c r="A15" s="102"/>
      <c r="B15" s="74"/>
      <c r="C15" s="109"/>
      <c r="E15" s="70"/>
      <c r="G15" s="71"/>
      <c r="I15" s="76" t="s">
        <v>64</v>
      </c>
      <c r="J15" s="77" t="s">
        <v>42</v>
      </c>
      <c r="K15" s="76">
        <f>SUM(K14:K14)</f>
        <v>42</v>
      </c>
      <c r="L15" s="78" t="s">
        <v>29</v>
      </c>
    </row>
    <row r="16" spans="1:13" s="63" customFormat="1" ht="30" x14ac:dyDescent="0.2">
      <c r="A16" s="67"/>
      <c r="B16" s="72" t="s">
        <v>96</v>
      </c>
      <c r="C16" s="110"/>
      <c r="E16" s="70"/>
      <c r="G16" s="71"/>
    </row>
    <row r="17" spans="1:12" s="63" customFormat="1" ht="15" x14ac:dyDescent="0.2">
      <c r="A17" s="102"/>
      <c r="B17" s="74" t="s">
        <v>129</v>
      </c>
      <c r="C17" s="109">
        <v>1</v>
      </c>
      <c r="D17" s="63" t="s">
        <v>41</v>
      </c>
      <c r="E17" s="70">
        <v>2.7</v>
      </c>
      <c r="F17" s="53"/>
      <c r="G17" s="71"/>
      <c r="I17" s="70"/>
      <c r="J17" s="75" t="s">
        <v>42</v>
      </c>
      <c r="K17" s="70">
        <f t="shared" ref="K17" si="2">IF(C17,C17*E17,"")</f>
        <v>2.7</v>
      </c>
      <c r="L17" s="68" t="s">
        <v>29</v>
      </c>
    </row>
    <row r="18" spans="1:12" s="63" customFormat="1" ht="15" x14ac:dyDescent="0.2">
      <c r="A18" s="102"/>
      <c r="B18" s="74"/>
      <c r="C18" s="109">
        <v>1</v>
      </c>
      <c r="D18" s="63" t="s">
        <v>41</v>
      </c>
      <c r="E18" s="70">
        <v>1.2</v>
      </c>
      <c r="F18" s="53"/>
      <c r="G18" s="71"/>
      <c r="I18" s="70"/>
      <c r="J18" s="75" t="s">
        <v>42</v>
      </c>
      <c r="K18" s="70">
        <f t="shared" ref="K18:K19" si="3">IF(C18,C18*E18,"")</f>
        <v>1.2</v>
      </c>
      <c r="L18" s="68" t="s">
        <v>29</v>
      </c>
    </row>
    <row r="19" spans="1:12" s="63" customFormat="1" ht="15" x14ac:dyDescent="0.2">
      <c r="A19" s="102"/>
      <c r="B19" s="74" t="s">
        <v>128</v>
      </c>
      <c r="C19" s="109">
        <v>1</v>
      </c>
      <c r="D19" s="63" t="s">
        <v>41</v>
      </c>
      <c r="E19" s="70">
        <v>3.6</v>
      </c>
      <c r="F19" s="53"/>
      <c r="G19" s="71"/>
      <c r="I19" s="70"/>
      <c r="J19" s="75" t="s">
        <v>42</v>
      </c>
      <c r="K19" s="70">
        <f t="shared" si="3"/>
        <v>3.6</v>
      </c>
      <c r="L19" s="68" t="s">
        <v>29</v>
      </c>
    </row>
    <row r="20" spans="1:12" s="63" customFormat="1" ht="15" x14ac:dyDescent="0.2">
      <c r="A20" s="102"/>
      <c r="B20" s="74"/>
      <c r="C20" s="109">
        <v>2</v>
      </c>
      <c r="D20" s="63" t="s">
        <v>41</v>
      </c>
      <c r="E20" s="70">
        <v>2.1</v>
      </c>
      <c r="F20" s="53"/>
      <c r="G20" s="71"/>
      <c r="I20" s="70"/>
      <c r="J20" s="75" t="s">
        <v>42</v>
      </c>
      <c r="K20" s="70">
        <f t="shared" ref="K20" si="4">IF(C20,C20*E20,"")</f>
        <v>4.2</v>
      </c>
      <c r="L20" s="68" t="s">
        <v>29</v>
      </c>
    </row>
    <row r="21" spans="1:12" s="63" customFormat="1" x14ac:dyDescent="0.2">
      <c r="A21" s="102"/>
      <c r="B21" s="74"/>
      <c r="C21" s="109"/>
      <c r="E21" s="70"/>
      <c r="G21" s="71"/>
      <c r="I21" s="101" t="s">
        <v>64</v>
      </c>
      <c r="J21" s="77" t="s">
        <v>42</v>
      </c>
      <c r="K21" s="76">
        <f>SUM(K17:K20)</f>
        <v>11.7</v>
      </c>
      <c r="L21" s="78" t="s">
        <v>29</v>
      </c>
    </row>
    <row r="22" spans="1:12" s="63" customFormat="1" ht="15" x14ac:dyDescent="0.2">
      <c r="A22" s="67"/>
      <c r="B22" s="81"/>
      <c r="C22" s="109"/>
      <c r="D22" s="82"/>
      <c r="E22" s="83"/>
      <c r="F22" s="73"/>
      <c r="G22" s="83"/>
      <c r="H22" s="84"/>
      <c r="J22" s="85"/>
      <c r="K22" s="86"/>
      <c r="L22" s="87"/>
    </row>
    <row r="23" spans="1:12" s="63" customFormat="1" ht="114" x14ac:dyDescent="0.2">
      <c r="A23" s="113">
        <v>1</v>
      </c>
      <c r="B23" s="117" t="s">
        <v>79</v>
      </c>
      <c r="C23" s="128"/>
      <c r="D23" s="36"/>
      <c r="E23" s="38"/>
      <c r="F23" s="36"/>
      <c r="G23" s="89"/>
      <c r="H23" s="36"/>
      <c r="I23" s="36"/>
      <c r="J23" s="36"/>
      <c r="K23" s="36"/>
    </row>
    <row r="24" spans="1:12" s="63" customFormat="1" x14ac:dyDescent="0.2">
      <c r="A24" s="118"/>
      <c r="B24" s="106" t="s">
        <v>99</v>
      </c>
      <c r="C24" s="34">
        <v>8</v>
      </c>
      <c r="D24" s="88" t="s">
        <v>41</v>
      </c>
      <c r="E24" s="89">
        <v>2.75</v>
      </c>
      <c r="F24" s="88" t="s">
        <v>41</v>
      </c>
      <c r="G24" s="89">
        <v>2.85</v>
      </c>
      <c r="H24" s="88" t="s">
        <v>41</v>
      </c>
      <c r="I24" s="89">
        <v>1.5</v>
      </c>
      <c r="J24" s="90" t="s">
        <v>42</v>
      </c>
      <c r="K24" s="89">
        <f>IF(C24,C24*E24*G24*I24,"")</f>
        <v>94.050000000000011</v>
      </c>
      <c r="L24" s="91" t="s">
        <v>20</v>
      </c>
    </row>
    <row r="25" spans="1:12" s="63" customFormat="1" x14ac:dyDescent="0.2">
      <c r="A25" s="118"/>
      <c r="B25" s="106" t="s">
        <v>73</v>
      </c>
      <c r="C25" s="34">
        <v>1</v>
      </c>
      <c r="D25" s="88" t="s">
        <v>41</v>
      </c>
      <c r="E25" s="89">
        <f>K11</f>
        <v>42</v>
      </c>
      <c r="F25" s="88" t="s">
        <v>41</v>
      </c>
      <c r="G25" s="89">
        <v>0.9</v>
      </c>
      <c r="H25" s="88" t="s">
        <v>41</v>
      </c>
      <c r="I25" s="89">
        <v>0.9</v>
      </c>
      <c r="J25" s="90" t="s">
        <v>42</v>
      </c>
      <c r="K25" s="89">
        <f>IF(C25,C25*E25*G25*I25,"")</f>
        <v>34.020000000000003</v>
      </c>
      <c r="L25" s="91" t="s">
        <v>20</v>
      </c>
    </row>
    <row r="26" spans="1:12" s="63" customFormat="1" x14ac:dyDescent="0.2">
      <c r="A26" s="118"/>
      <c r="B26" s="106" t="s">
        <v>126</v>
      </c>
      <c r="C26" s="34">
        <v>1</v>
      </c>
      <c r="D26" s="88" t="s">
        <v>41</v>
      </c>
      <c r="E26" s="89">
        <f>K21</f>
        <v>11.7</v>
      </c>
      <c r="F26" s="88" t="s">
        <v>41</v>
      </c>
      <c r="G26" s="89">
        <v>0.9</v>
      </c>
      <c r="H26" s="88" t="s">
        <v>41</v>
      </c>
      <c r="I26" s="89">
        <v>0.75</v>
      </c>
      <c r="J26" s="90" t="s">
        <v>42</v>
      </c>
      <c r="K26" s="89">
        <f>IF(C26,C26*E26*G26*I26,"")</f>
        <v>7.8974999999999991</v>
      </c>
      <c r="L26" s="91" t="s">
        <v>20</v>
      </c>
    </row>
    <row r="27" spans="1:12" s="63" customFormat="1" ht="15" x14ac:dyDescent="0.2">
      <c r="A27" s="118"/>
      <c r="B27" s="106"/>
      <c r="C27" s="34"/>
      <c r="D27" s="36"/>
      <c r="E27" s="105"/>
      <c r="F27" s="114"/>
      <c r="G27" s="115" t="s">
        <v>31</v>
      </c>
      <c r="H27" s="114"/>
      <c r="I27" s="105"/>
      <c r="J27" s="114"/>
      <c r="K27" s="105">
        <f>SUM(K24:K26)</f>
        <v>135.96750000000003</v>
      </c>
      <c r="L27" s="92" t="s">
        <v>20</v>
      </c>
    </row>
    <row r="28" spans="1:12" s="63" customFormat="1" ht="85.5" x14ac:dyDescent="0.2">
      <c r="A28" s="113">
        <f>LOOKUP(2,1/(A$1:A27&lt;&gt;""),A$1:A27)+1</f>
        <v>2</v>
      </c>
      <c r="B28" s="117" t="s">
        <v>80</v>
      </c>
      <c r="C28" s="128"/>
      <c r="D28" s="36"/>
      <c r="E28" s="38"/>
      <c r="F28" s="36"/>
      <c r="G28" s="89"/>
      <c r="H28" s="36"/>
      <c r="I28" s="36"/>
      <c r="J28" s="36"/>
      <c r="K28" s="36"/>
    </row>
    <row r="29" spans="1:12" s="63" customFormat="1" x14ac:dyDescent="0.2">
      <c r="A29" s="118"/>
      <c r="B29" s="106"/>
      <c r="C29" s="34"/>
      <c r="D29" s="88"/>
      <c r="E29" s="89"/>
      <c r="F29" s="88"/>
      <c r="G29" s="89"/>
      <c r="H29" s="88"/>
      <c r="I29" s="89"/>
      <c r="J29" s="90"/>
      <c r="K29" s="89"/>
      <c r="L29" s="91"/>
    </row>
    <row r="30" spans="1:12" s="63" customFormat="1" x14ac:dyDescent="0.2">
      <c r="A30" s="118"/>
      <c r="B30" s="106" t="s">
        <v>130</v>
      </c>
      <c r="C30" s="34">
        <v>1</v>
      </c>
      <c r="D30" s="88" t="s">
        <v>41</v>
      </c>
      <c r="E30" s="89">
        <f>E9-0.6</f>
        <v>5.4</v>
      </c>
      <c r="F30" s="88" t="s">
        <v>41</v>
      </c>
      <c r="G30" s="89">
        <f>E10-0.6</f>
        <v>14.4</v>
      </c>
      <c r="H30" s="88"/>
      <c r="I30" s="89"/>
      <c r="J30" s="90" t="s">
        <v>42</v>
      </c>
      <c r="K30" s="89">
        <f>IF(C30,C30*E30*G30,"")</f>
        <v>77.760000000000005</v>
      </c>
      <c r="L30" s="68" t="s">
        <v>22</v>
      </c>
    </row>
    <row r="31" spans="1:12" s="63" customFormat="1" x14ac:dyDescent="0.2">
      <c r="A31" s="118"/>
      <c r="B31" s="106"/>
      <c r="C31" s="34"/>
      <c r="D31" s="88"/>
      <c r="E31" s="89"/>
      <c r="F31" s="88"/>
      <c r="G31" s="89"/>
      <c r="H31" s="88"/>
      <c r="I31" s="89"/>
      <c r="J31" s="90"/>
      <c r="K31" s="89"/>
      <c r="L31" s="68"/>
    </row>
    <row r="32" spans="1:12" s="63" customFormat="1" x14ac:dyDescent="0.2">
      <c r="A32" s="118"/>
      <c r="B32" s="106" t="s">
        <v>97</v>
      </c>
      <c r="C32" s="34"/>
      <c r="D32" s="88"/>
      <c r="E32" s="89">
        <f>K30</f>
        <v>77.760000000000005</v>
      </c>
      <c r="F32" s="88" t="s">
        <v>41</v>
      </c>
      <c r="G32" s="89">
        <v>0.45</v>
      </c>
      <c r="H32" s="88"/>
      <c r="I32" s="89"/>
      <c r="J32" s="90" t="s">
        <v>42</v>
      </c>
      <c r="K32" s="89">
        <f>E32*G32</f>
        <v>34.992000000000004</v>
      </c>
      <c r="L32" s="91" t="s">
        <v>20</v>
      </c>
    </row>
    <row r="33" spans="1:12" s="63" customFormat="1" ht="15" x14ac:dyDescent="0.2">
      <c r="A33" s="118"/>
      <c r="B33" s="106"/>
      <c r="C33" s="34"/>
      <c r="D33" s="36"/>
      <c r="E33" s="105"/>
      <c r="F33" s="114"/>
      <c r="G33" s="115" t="s">
        <v>31</v>
      </c>
      <c r="H33" s="114"/>
      <c r="I33" s="105"/>
      <c r="J33" s="114"/>
      <c r="K33" s="105">
        <f>SUM(K32)</f>
        <v>34.992000000000004</v>
      </c>
      <c r="L33" s="92" t="s">
        <v>20</v>
      </c>
    </row>
    <row r="34" spans="1:12" s="63" customFormat="1" ht="99.75" x14ac:dyDescent="0.2">
      <c r="A34" s="113">
        <f>LOOKUP(2,1/(A$1:A33&lt;&gt;""),A$1:A33)+1</f>
        <v>3</v>
      </c>
      <c r="B34" s="117" t="s">
        <v>81</v>
      </c>
      <c r="C34" s="34"/>
      <c r="D34" s="122"/>
      <c r="E34" s="38"/>
      <c r="F34" s="36"/>
      <c r="G34" s="89"/>
      <c r="H34" s="36"/>
      <c r="I34" s="36"/>
      <c r="J34" s="36"/>
      <c r="K34" s="36"/>
    </row>
    <row r="35" spans="1:12" s="63" customFormat="1" x14ac:dyDescent="0.2">
      <c r="A35" s="118"/>
      <c r="B35" s="106" t="s">
        <v>73</v>
      </c>
      <c r="C35" s="34">
        <v>1</v>
      </c>
      <c r="D35" s="88" t="s">
        <v>41</v>
      </c>
      <c r="E35" s="89">
        <f>E25</f>
        <v>42</v>
      </c>
      <c r="F35" s="88" t="s">
        <v>41</v>
      </c>
      <c r="G35" s="89">
        <f>G25</f>
        <v>0.9</v>
      </c>
      <c r="H35" s="88" t="s">
        <v>41</v>
      </c>
      <c r="I35" s="89">
        <v>0.15</v>
      </c>
      <c r="J35" s="90" t="s">
        <v>42</v>
      </c>
      <c r="K35" s="89">
        <f>IF(C35,C35*E35*G35*I35,"")</f>
        <v>5.6700000000000008</v>
      </c>
      <c r="L35" s="91" t="s">
        <v>20</v>
      </c>
    </row>
    <row r="36" spans="1:12" s="63" customFormat="1" x14ac:dyDescent="0.2">
      <c r="A36" s="118"/>
      <c r="B36" s="106" t="s">
        <v>126</v>
      </c>
      <c r="C36" s="34">
        <v>1</v>
      </c>
      <c r="D36" s="88" t="s">
        <v>41</v>
      </c>
      <c r="E36" s="89">
        <f>E26</f>
        <v>11.7</v>
      </c>
      <c r="F36" s="88" t="s">
        <v>41</v>
      </c>
      <c r="G36" s="89">
        <f>G26</f>
        <v>0.9</v>
      </c>
      <c r="H36" s="88" t="s">
        <v>41</v>
      </c>
      <c r="I36" s="89">
        <v>0.15</v>
      </c>
      <c r="J36" s="90" t="s">
        <v>42</v>
      </c>
      <c r="K36" s="89">
        <f>IF(C36,C36*E36*G36*I36,"")</f>
        <v>1.5794999999999999</v>
      </c>
      <c r="L36" s="91" t="s">
        <v>20</v>
      </c>
    </row>
    <row r="37" spans="1:12" s="63" customFormat="1" ht="15" x14ac:dyDescent="0.2">
      <c r="A37" s="34"/>
      <c r="B37" s="93" t="s">
        <v>131</v>
      </c>
      <c r="C37" s="34">
        <f>C24</f>
        <v>8</v>
      </c>
      <c r="D37" s="36" t="s">
        <v>41</v>
      </c>
      <c r="E37" s="94">
        <f>E24</f>
        <v>2.75</v>
      </c>
      <c r="F37" s="38" t="s">
        <v>41</v>
      </c>
      <c r="G37" s="94">
        <f>G24</f>
        <v>2.85</v>
      </c>
      <c r="H37" s="88" t="s">
        <v>41</v>
      </c>
      <c r="I37" s="89">
        <v>0.3</v>
      </c>
      <c r="J37" s="90" t="s">
        <v>42</v>
      </c>
      <c r="K37" s="89">
        <f>IF(C37,C37*E37*G37*I37,"")</f>
        <v>18.809999999999999</v>
      </c>
      <c r="L37" s="91" t="s">
        <v>20</v>
      </c>
    </row>
    <row r="38" spans="1:12" s="63" customFormat="1" ht="15" x14ac:dyDescent="0.2">
      <c r="A38" s="118"/>
      <c r="B38" s="106"/>
      <c r="C38" s="34"/>
      <c r="D38" s="36"/>
      <c r="E38" s="105"/>
      <c r="F38" s="114"/>
      <c r="G38" s="115" t="s">
        <v>98</v>
      </c>
      <c r="H38" s="114"/>
      <c r="I38" s="105"/>
      <c r="J38" s="114"/>
      <c r="K38" s="105">
        <f>SUM(K35:K37)</f>
        <v>26.0595</v>
      </c>
      <c r="L38" s="92" t="s">
        <v>20</v>
      </c>
    </row>
    <row r="39" spans="1:12" s="63" customFormat="1" ht="128.25" x14ac:dyDescent="0.2">
      <c r="A39" s="113">
        <f>LOOKUP(2,1/(A$1:A38&lt;&gt;""),A$1:A38)+1</f>
        <v>4</v>
      </c>
      <c r="B39" s="117" t="s">
        <v>82</v>
      </c>
      <c r="C39" s="34"/>
      <c r="D39" s="122"/>
      <c r="E39" s="38"/>
      <c r="F39" s="36"/>
      <c r="G39" s="89"/>
      <c r="H39" s="36"/>
      <c r="I39" s="36"/>
      <c r="J39" s="36"/>
      <c r="K39" s="36"/>
    </row>
    <row r="40" spans="1:12" s="63" customFormat="1" x14ac:dyDescent="0.2">
      <c r="A40" s="118"/>
      <c r="B40" s="106" t="s">
        <v>142</v>
      </c>
      <c r="C40" s="34">
        <v>1</v>
      </c>
      <c r="D40" s="88" t="s">
        <v>41</v>
      </c>
      <c r="E40" s="89">
        <v>42</v>
      </c>
      <c r="F40" s="88" t="s">
        <v>41</v>
      </c>
      <c r="G40" s="89">
        <v>0.23</v>
      </c>
      <c r="H40" s="88" t="s">
        <v>41</v>
      </c>
      <c r="I40" s="89">
        <v>0.23</v>
      </c>
      <c r="J40" s="90" t="s">
        <v>42</v>
      </c>
      <c r="K40" s="89">
        <f>IF(C40,C40*E40*G40*I40,"")</f>
        <v>2.2218</v>
      </c>
      <c r="L40" s="91" t="s">
        <v>20</v>
      </c>
    </row>
    <row r="41" spans="1:12" s="63" customFormat="1" ht="15" x14ac:dyDescent="0.2">
      <c r="A41" s="34"/>
      <c r="B41" s="93" t="s">
        <v>131</v>
      </c>
      <c r="C41" s="34">
        <v>4</v>
      </c>
      <c r="D41" s="36" t="s">
        <v>41</v>
      </c>
      <c r="E41" s="97">
        <v>2</v>
      </c>
      <c r="F41" s="38" t="s">
        <v>41</v>
      </c>
      <c r="G41" s="97">
        <v>2</v>
      </c>
      <c r="H41" s="88" t="s">
        <v>41</v>
      </c>
      <c r="I41" s="89">
        <v>0.5</v>
      </c>
      <c r="J41" s="90" t="s">
        <v>42</v>
      </c>
      <c r="K41" s="89">
        <f>IF(C41,C41*E41*G41*I41,"")</f>
        <v>8</v>
      </c>
      <c r="L41" s="91" t="s">
        <v>20</v>
      </c>
    </row>
    <row r="42" spans="1:12" s="63" customFormat="1" ht="15" x14ac:dyDescent="0.2">
      <c r="A42" s="34"/>
      <c r="B42" s="93" t="s">
        <v>153</v>
      </c>
      <c r="C42" s="34">
        <v>4</v>
      </c>
      <c r="D42" s="36" t="s">
        <v>41</v>
      </c>
      <c r="E42" s="97">
        <f>E37-0.3</f>
        <v>2.4500000000000002</v>
      </c>
      <c r="F42" s="38" t="s">
        <v>41</v>
      </c>
      <c r="G42" s="97">
        <f>G37-0.3</f>
        <v>2.5500000000000003</v>
      </c>
      <c r="H42" s="88" t="s">
        <v>41</v>
      </c>
      <c r="I42" s="89">
        <v>0.83</v>
      </c>
      <c r="J42" s="90" t="s">
        <v>42</v>
      </c>
      <c r="K42" s="89">
        <f>IF(C42,C42*E42*G42*I42,"")</f>
        <v>20.741700000000005</v>
      </c>
      <c r="L42" s="91" t="s">
        <v>20</v>
      </c>
    </row>
    <row r="43" spans="1:12" s="63" customFormat="1" ht="15" x14ac:dyDescent="0.2">
      <c r="A43" s="118"/>
      <c r="B43" s="106"/>
      <c r="C43" s="34"/>
      <c r="D43" s="36"/>
      <c r="E43" s="105"/>
      <c r="F43" s="114"/>
      <c r="G43" s="115" t="s">
        <v>98</v>
      </c>
      <c r="H43" s="114"/>
      <c r="I43" s="105"/>
      <c r="J43" s="114"/>
      <c r="K43" s="105">
        <f>SUM(K40:K42)</f>
        <v>30.963500000000003</v>
      </c>
      <c r="L43" s="92" t="s">
        <v>20</v>
      </c>
    </row>
    <row r="44" spans="1:12" s="63" customFormat="1" ht="102" x14ac:dyDescent="0.2">
      <c r="A44" s="113">
        <f>LOOKUP(2,1/(A$1:A43&lt;&gt;""),A$1:A43)+1</f>
        <v>5</v>
      </c>
      <c r="B44" s="106" t="s">
        <v>95</v>
      </c>
      <c r="C44" s="128"/>
      <c r="D44" s="91"/>
      <c r="E44" s="38"/>
      <c r="F44" s="91"/>
      <c r="G44" s="89"/>
      <c r="H44" s="36"/>
      <c r="I44" s="36"/>
      <c r="J44" s="36"/>
      <c r="K44" s="36"/>
    </row>
    <row r="45" spans="1:12" s="63" customFormat="1" x14ac:dyDescent="0.2">
      <c r="A45" s="34"/>
      <c r="B45" s="121" t="s">
        <v>100</v>
      </c>
      <c r="C45" s="34">
        <v>8</v>
      </c>
      <c r="D45" s="36" t="s">
        <v>41</v>
      </c>
      <c r="E45" s="38">
        <f>2*(E42+G42)</f>
        <v>10</v>
      </c>
      <c r="F45" s="36" t="s">
        <v>41</v>
      </c>
      <c r="G45" s="38">
        <f>I42</f>
        <v>0.83</v>
      </c>
      <c r="H45" s="36"/>
      <c r="I45" s="36"/>
      <c r="J45" s="79" t="s">
        <v>42</v>
      </c>
      <c r="K45" s="38">
        <f>IF(C45,C45*E45*G45,"")</f>
        <v>66.399999999999991</v>
      </c>
      <c r="L45" s="68" t="s">
        <v>22</v>
      </c>
    </row>
    <row r="46" spans="1:12" s="63" customFormat="1" x14ac:dyDescent="0.2">
      <c r="A46" s="118"/>
      <c r="B46" s="106" t="s">
        <v>142</v>
      </c>
      <c r="C46" s="34">
        <v>2</v>
      </c>
      <c r="D46" s="88" t="s">
        <v>41</v>
      </c>
      <c r="E46" s="89">
        <v>42</v>
      </c>
      <c r="F46" s="88" t="s">
        <v>41</v>
      </c>
      <c r="G46" s="89">
        <v>0.23</v>
      </c>
      <c r="H46" s="36"/>
      <c r="I46" s="36"/>
      <c r="J46" s="79" t="s">
        <v>42</v>
      </c>
      <c r="K46" s="38">
        <f>IF(C46,C46*E46*G46,"")</f>
        <v>19.32</v>
      </c>
      <c r="L46" s="68" t="s">
        <v>22</v>
      </c>
    </row>
    <row r="47" spans="1:12" s="63" customFormat="1" ht="15" x14ac:dyDescent="0.2">
      <c r="A47" s="118"/>
      <c r="B47" s="106"/>
      <c r="C47" s="34"/>
      <c r="D47" s="36"/>
      <c r="E47" s="105"/>
      <c r="F47" s="114"/>
      <c r="G47" s="115" t="s">
        <v>31</v>
      </c>
      <c r="H47" s="114"/>
      <c r="I47" s="105"/>
      <c r="J47" s="114"/>
      <c r="K47" s="105">
        <f>SUM(K45:K46)</f>
        <v>85.72</v>
      </c>
      <c r="L47" s="98" t="s">
        <v>22</v>
      </c>
    </row>
    <row r="48" spans="1:12" s="63" customFormat="1" ht="15" x14ac:dyDescent="0.2">
      <c r="A48" s="118"/>
      <c r="B48" s="106"/>
      <c r="C48" s="34"/>
      <c r="D48" s="36"/>
      <c r="E48" s="105"/>
      <c r="F48" s="114"/>
      <c r="G48" s="115"/>
      <c r="H48" s="114"/>
      <c r="I48" s="105"/>
      <c r="J48" s="114"/>
      <c r="K48" s="105"/>
      <c r="L48" s="129"/>
    </row>
    <row r="49" spans="1:12" s="43" customFormat="1" ht="150" x14ac:dyDescent="0.2">
      <c r="A49" s="113">
        <f>LOOKUP(2,1/(A$1:A48&lt;&gt;""),A$1:A48)+1</f>
        <v>6</v>
      </c>
      <c r="B49" s="266" t="s">
        <v>122</v>
      </c>
      <c r="C49" s="128"/>
      <c r="D49" s="91"/>
      <c r="E49" s="38"/>
      <c r="F49" s="91"/>
      <c r="G49" s="89"/>
      <c r="H49" s="36"/>
      <c r="I49" s="36"/>
      <c r="J49" s="36"/>
      <c r="K49" s="36"/>
      <c r="L49" s="63"/>
    </row>
    <row r="50" spans="1:12" s="63" customFormat="1" x14ac:dyDescent="0.2">
      <c r="A50" s="118"/>
      <c r="B50" s="106" t="s">
        <v>134</v>
      </c>
      <c r="C50" s="34">
        <v>1</v>
      </c>
      <c r="D50" s="88" t="s">
        <v>41</v>
      </c>
      <c r="E50" s="89">
        <v>42</v>
      </c>
      <c r="F50" s="88" t="s">
        <v>41</v>
      </c>
      <c r="G50" s="89">
        <v>0.23</v>
      </c>
      <c r="H50" s="88" t="s">
        <v>41</v>
      </c>
      <c r="I50" s="89">
        <v>0.15</v>
      </c>
      <c r="J50" s="90" t="s">
        <v>42</v>
      </c>
      <c r="K50" s="89">
        <f t="shared" ref="K50:K55" si="5">IF(C50,C50*E50*G50*I50,"")</f>
        <v>1.4490000000000001</v>
      </c>
      <c r="L50" s="91" t="s">
        <v>20</v>
      </c>
    </row>
    <row r="51" spans="1:12" s="63" customFormat="1" x14ac:dyDescent="0.2">
      <c r="A51" s="118"/>
      <c r="B51" s="106" t="s">
        <v>143</v>
      </c>
      <c r="C51" s="34">
        <v>1</v>
      </c>
      <c r="D51" s="88" t="s">
        <v>41</v>
      </c>
      <c r="E51" s="89">
        <v>42</v>
      </c>
      <c r="F51" s="88" t="s">
        <v>41</v>
      </c>
      <c r="G51" s="89">
        <v>0.23</v>
      </c>
      <c r="H51" s="88" t="s">
        <v>41</v>
      </c>
      <c r="I51" s="89">
        <v>0.45</v>
      </c>
      <c r="J51" s="90" t="s">
        <v>42</v>
      </c>
      <c r="K51" s="89">
        <f t="shared" si="5"/>
        <v>4.3470000000000004</v>
      </c>
      <c r="L51" s="91" t="s">
        <v>20</v>
      </c>
    </row>
    <row r="52" spans="1:12" s="63" customFormat="1" x14ac:dyDescent="0.2">
      <c r="A52" s="118"/>
      <c r="B52" s="106" t="s">
        <v>133</v>
      </c>
      <c r="C52" s="34">
        <v>2</v>
      </c>
      <c r="D52" s="88" t="s">
        <v>41</v>
      </c>
      <c r="E52" s="89">
        <v>6</v>
      </c>
      <c r="F52" s="88" t="s">
        <v>41</v>
      </c>
      <c r="G52" s="89">
        <v>0.23</v>
      </c>
      <c r="H52" s="88" t="s">
        <v>41</v>
      </c>
      <c r="I52" s="89">
        <v>0.45</v>
      </c>
      <c r="J52" s="90" t="s">
        <v>42</v>
      </c>
      <c r="K52" s="89">
        <f t="shared" si="5"/>
        <v>1.2420000000000002</v>
      </c>
      <c r="L52" s="91" t="s">
        <v>20</v>
      </c>
    </row>
    <row r="53" spans="1:12" s="63" customFormat="1" x14ac:dyDescent="0.2">
      <c r="A53" s="118"/>
      <c r="B53" s="106" t="s">
        <v>138</v>
      </c>
      <c r="C53" s="34">
        <v>3</v>
      </c>
      <c r="D53" s="88" t="s">
        <v>41</v>
      </c>
      <c r="E53" s="89">
        <v>5.54</v>
      </c>
      <c r="F53" s="88" t="s">
        <v>41</v>
      </c>
      <c r="G53" s="89">
        <v>4.7699999999999996</v>
      </c>
      <c r="H53" s="88" t="s">
        <v>41</v>
      </c>
      <c r="I53" s="89">
        <v>0.15</v>
      </c>
      <c r="J53" s="90" t="s">
        <v>42</v>
      </c>
      <c r="K53" s="89">
        <f t="shared" si="5"/>
        <v>11.89161</v>
      </c>
      <c r="L53" s="91" t="s">
        <v>20</v>
      </c>
    </row>
    <row r="54" spans="1:12" s="63" customFormat="1" x14ac:dyDescent="0.2">
      <c r="A54" s="118"/>
      <c r="B54" s="106" t="s">
        <v>140</v>
      </c>
      <c r="C54" s="34">
        <v>2</v>
      </c>
      <c r="D54" s="88" t="s">
        <v>41</v>
      </c>
      <c r="E54" s="89">
        <v>2.75</v>
      </c>
      <c r="F54" s="88" t="s">
        <v>41</v>
      </c>
      <c r="G54" s="89">
        <v>1.43</v>
      </c>
      <c r="H54" s="88" t="s">
        <v>41</v>
      </c>
      <c r="I54" s="89">
        <v>0.25</v>
      </c>
      <c r="J54" s="90" t="s">
        <v>42</v>
      </c>
      <c r="K54" s="89">
        <f t="shared" si="5"/>
        <v>1.9662499999999998</v>
      </c>
      <c r="L54" s="91" t="s">
        <v>20</v>
      </c>
    </row>
    <row r="55" spans="1:12" s="63" customFormat="1" x14ac:dyDescent="0.2">
      <c r="A55" s="118"/>
      <c r="B55" s="106"/>
      <c r="C55" s="34">
        <v>1</v>
      </c>
      <c r="D55" s="88" t="s">
        <v>41</v>
      </c>
      <c r="E55" s="89">
        <v>1.2</v>
      </c>
      <c r="F55" s="88" t="s">
        <v>41</v>
      </c>
      <c r="G55" s="89">
        <v>1.43</v>
      </c>
      <c r="H55" s="88" t="s">
        <v>41</v>
      </c>
      <c r="I55" s="89">
        <v>0.25</v>
      </c>
      <c r="J55" s="90" t="s">
        <v>42</v>
      </c>
      <c r="K55" s="89">
        <f t="shared" si="5"/>
        <v>0.42899999999999999</v>
      </c>
      <c r="L55" s="91" t="s">
        <v>20</v>
      </c>
    </row>
    <row r="56" spans="1:12" s="63" customFormat="1" ht="15" x14ac:dyDescent="0.2">
      <c r="A56" s="118"/>
      <c r="B56" s="106"/>
      <c r="C56" s="34"/>
      <c r="D56" s="36"/>
      <c r="E56" s="105"/>
      <c r="F56" s="114"/>
      <c r="G56" s="115" t="s">
        <v>31</v>
      </c>
      <c r="H56" s="114"/>
      <c r="I56" s="105"/>
      <c r="J56" s="114"/>
      <c r="K56" s="105">
        <f>SUM(K50:K55)</f>
        <v>21.324859999999997</v>
      </c>
      <c r="L56" s="92" t="s">
        <v>20</v>
      </c>
    </row>
    <row r="57" spans="1:12" s="63" customFormat="1" ht="15" x14ac:dyDescent="0.2">
      <c r="A57" s="118"/>
      <c r="B57" s="106"/>
      <c r="C57" s="34"/>
      <c r="D57" s="36"/>
      <c r="E57" s="105"/>
      <c r="F57" s="114"/>
      <c r="G57" s="115"/>
      <c r="H57" s="114"/>
      <c r="I57" s="105"/>
      <c r="J57" s="114"/>
      <c r="K57" s="105"/>
      <c r="L57" s="116"/>
    </row>
    <row r="58" spans="1:12" s="63" customFormat="1" x14ac:dyDescent="0.2">
      <c r="A58" s="118"/>
      <c r="B58" s="106" t="s">
        <v>6</v>
      </c>
      <c r="C58" s="34">
        <v>8</v>
      </c>
      <c r="D58" s="88" t="s">
        <v>41</v>
      </c>
      <c r="E58" s="89">
        <v>0.3</v>
      </c>
      <c r="F58" s="88" t="s">
        <v>41</v>
      </c>
      <c r="G58" s="89">
        <v>0.45</v>
      </c>
      <c r="H58" s="88" t="s">
        <v>41</v>
      </c>
      <c r="I58" s="89">
        <v>3.6</v>
      </c>
      <c r="J58" s="90" t="s">
        <v>42</v>
      </c>
      <c r="K58" s="89">
        <f>IF(C58,C58*E58*G58*I58,"")</f>
        <v>3.8880000000000003</v>
      </c>
      <c r="L58" s="91" t="s">
        <v>20</v>
      </c>
    </row>
    <row r="59" spans="1:12" s="63" customFormat="1" ht="15" x14ac:dyDescent="0.2">
      <c r="A59" s="118"/>
      <c r="B59" s="106"/>
      <c r="C59" s="34"/>
      <c r="D59" s="36"/>
      <c r="E59" s="105"/>
      <c r="F59" s="114"/>
      <c r="G59" s="115" t="s">
        <v>31</v>
      </c>
      <c r="H59" s="114"/>
      <c r="I59" s="105"/>
      <c r="J59" s="114"/>
      <c r="K59" s="105">
        <f>SUM(K58:K58)</f>
        <v>3.8880000000000003</v>
      </c>
      <c r="L59" s="92" t="s">
        <v>20</v>
      </c>
    </row>
    <row r="60" spans="1:12" s="43" customFormat="1" ht="90" x14ac:dyDescent="0.2">
      <c r="A60" s="113">
        <f>LOOKUP(2,1/(A$1:A47&lt;&gt;""),A$1:A47)+1</f>
        <v>6</v>
      </c>
      <c r="B60" s="266" t="s">
        <v>111</v>
      </c>
      <c r="C60" s="128"/>
      <c r="D60" s="91"/>
      <c r="E60" s="38"/>
      <c r="F60" s="91"/>
      <c r="G60" s="89"/>
      <c r="H60" s="36"/>
      <c r="I60" s="36"/>
      <c r="J60" s="36"/>
      <c r="K60" s="36"/>
      <c r="L60" s="63"/>
    </row>
    <row r="61" spans="1:12" s="43" customFormat="1" ht="75" x14ac:dyDescent="0.2">
      <c r="A61" s="113"/>
      <c r="B61" s="266" t="s">
        <v>139</v>
      </c>
      <c r="C61" s="128"/>
      <c r="D61" s="91"/>
      <c r="E61" s="38"/>
      <c r="F61" s="91"/>
      <c r="G61" s="89"/>
      <c r="H61" s="36"/>
      <c r="I61" s="36"/>
      <c r="J61" s="36"/>
      <c r="K61" s="36"/>
      <c r="L61" s="63"/>
    </row>
    <row r="62" spans="1:12" s="63" customFormat="1" x14ac:dyDescent="0.2">
      <c r="A62" s="34"/>
      <c r="B62" s="121" t="s">
        <v>134</v>
      </c>
      <c r="C62" s="128">
        <v>1</v>
      </c>
      <c r="D62" s="36" t="s">
        <v>41</v>
      </c>
      <c r="E62" s="38">
        <f>K11</f>
        <v>42</v>
      </c>
      <c r="F62" s="36" t="s">
        <v>41</v>
      </c>
      <c r="G62" s="38">
        <v>0.23</v>
      </c>
      <c r="H62" s="36"/>
      <c r="I62" s="36"/>
      <c r="J62" s="79" t="s">
        <v>42</v>
      </c>
      <c r="K62" s="38">
        <f t="shared" ref="K62:K72" si="6">IF(C62,C62*E62*G62,"")</f>
        <v>9.66</v>
      </c>
      <c r="L62" s="68" t="s">
        <v>22</v>
      </c>
    </row>
    <row r="63" spans="1:12" s="63" customFormat="1" x14ac:dyDescent="0.2">
      <c r="A63" s="34"/>
      <c r="B63" s="121" t="s">
        <v>135</v>
      </c>
      <c r="C63" s="34">
        <f>2</f>
        <v>2</v>
      </c>
      <c r="D63" s="36" t="s">
        <v>41</v>
      </c>
      <c r="E63" s="38">
        <f>E62</f>
        <v>42</v>
      </c>
      <c r="F63" s="36" t="s">
        <v>41</v>
      </c>
      <c r="G63" s="38">
        <v>0.23</v>
      </c>
      <c r="H63" s="36"/>
      <c r="I63" s="36"/>
      <c r="J63" s="79" t="s">
        <v>42</v>
      </c>
      <c r="K63" s="38">
        <f t="shared" si="6"/>
        <v>19.32</v>
      </c>
      <c r="L63" s="68" t="s">
        <v>22</v>
      </c>
    </row>
    <row r="64" spans="1:12" s="63" customFormat="1" x14ac:dyDescent="0.2">
      <c r="A64" s="34"/>
      <c r="B64" s="121" t="s">
        <v>137</v>
      </c>
      <c r="C64" s="128">
        <v>1</v>
      </c>
      <c r="D64" s="36" t="s">
        <v>41</v>
      </c>
      <c r="E64" s="38">
        <v>42</v>
      </c>
      <c r="F64" s="36" t="s">
        <v>41</v>
      </c>
      <c r="G64" s="38">
        <v>0.23</v>
      </c>
      <c r="H64" s="36"/>
      <c r="I64" s="36"/>
      <c r="J64" s="79" t="s">
        <v>42</v>
      </c>
      <c r="K64" s="38">
        <f t="shared" si="6"/>
        <v>9.66</v>
      </c>
      <c r="L64" s="68" t="s">
        <v>22</v>
      </c>
    </row>
    <row r="65" spans="1:12" s="63" customFormat="1" x14ac:dyDescent="0.2">
      <c r="A65" s="34"/>
      <c r="B65" s="121" t="s">
        <v>136</v>
      </c>
      <c r="C65" s="34">
        <v>2</v>
      </c>
      <c r="D65" s="36" t="s">
        <v>41</v>
      </c>
      <c r="E65" s="38">
        <v>42</v>
      </c>
      <c r="F65" s="36" t="s">
        <v>41</v>
      </c>
      <c r="G65" s="38">
        <v>0.45</v>
      </c>
      <c r="H65" s="36"/>
      <c r="I65" s="36"/>
      <c r="J65" s="79" t="s">
        <v>42</v>
      </c>
      <c r="K65" s="38">
        <f t="shared" si="6"/>
        <v>37.800000000000004</v>
      </c>
      <c r="L65" s="68" t="s">
        <v>22</v>
      </c>
    </row>
    <row r="66" spans="1:12" s="63" customFormat="1" x14ac:dyDescent="0.2">
      <c r="A66" s="34"/>
      <c r="B66" s="121" t="s">
        <v>133</v>
      </c>
      <c r="C66" s="128">
        <v>2</v>
      </c>
      <c r="D66" s="36" t="s">
        <v>41</v>
      </c>
      <c r="E66" s="38">
        <v>6</v>
      </c>
      <c r="F66" s="36" t="s">
        <v>41</v>
      </c>
      <c r="G66" s="38">
        <v>0.23</v>
      </c>
      <c r="H66" s="36"/>
      <c r="I66" s="36"/>
      <c r="J66" s="79" t="s">
        <v>42</v>
      </c>
      <c r="K66" s="38">
        <f t="shared" si="6"/>
        <v>2.7600000000000002</v>
      </c>
      <c r="L66" s="68" t="s">
        <v>22</v>
      </c>
    </row>
    <row r="67" spans="1:12" s="63" customFormat="1" x14ac:dyDescent="0.2">
      <c r="A67" s="34"/>
      <c r="B67" s="121" t="s">
        <v>136</v>
      </c>
      <c r="C67" s="34">
        <v>4</v>
      </c>
      <c r="D67" s="36" t="s">
        <v>41</v>
      </c>
      <c r="E67" s="38">
        <f>E66</f>
        <v>6</v>
      </c>
      <c r="F67" s="36" t="s">
        <v>41</v>
      </c>
      <c r="G67" s="38">
        <v>0.45</v>
      </c>
      <c r="H67" s="36"/>
      <c r="I67" s="36"/>
      <c r="J67" s="79" t="s">
        <v>42</v>
      </c>
      <c r="K67" s="38">
        <f t="shared" si="6"/>
        <v>10.8</v>
      </c>
      <c r="L67" s="68" t="s">
        <v>22</v>
      </c>
    </row>
    <row r="68" spans="1:12" s="63" customFormat="1" x14ac:dyDescent="0.2">
      <c r="A68" s="34"/>
      <c r="B68" s="121" t="s">
        <v>138</v>
      </c>
      <c r="C68" s="34">
        <v>3</v>
      </c>
      <c r="D68" s="36" t="s">
        <v>41</v>
      </c>
      <c r="E68" s="38">
        <f>6-0.46</f>
        <v>5.54</v>
      </c>
      <c r="F68" s="36" t="s">
        <v>41</v>
      </c>
      <c r="G68" s="38">
        <f>15/3-0.23</f>
        <v>4.7699999999999996</v>
      </c>
      <c r="H68" s="36"/>
      <c r="I68" s="36"/>
      <c r="J68" s="79" t="s">
        <v>42</v>
      </c>
      <c r="K68" s="38">
        <f t="shared" si="6"/>
        <v>79.2774</v>
      </c>
      <c r="L68" s="68" t="s">
        <v>22</v>
      </c>
    </row>
    <row r="69" spans="1:12" s="63" customFormat="1" x14ac:dyDescent="0.2">
      <c r="A69" s="34"/>
      <c r="B69" s="121" t="s">
        <v>140</v>
      </c>
      <c r="C69" s="128">
        <v>2</v>
      </c>
      <c r="D69" s="36" t="s">
        <v>41</v>
      </c>
      <c r="E69" s="38">
        <v>2.75</v>
      </c>
      <c r="F69" s="36" t="s">
        <v>41</v>
      </c>
      <c r="G69" s="38">
        <v>1.2</v>
      </c>
      <c r="H69" s="36"/>
      <c r="I69" s="36"/>
      <c r="J69" s="79" t="s">
        <v>42</v>
      </c>
      <c r="K69" s="38">
        <f t="shared" si="6"/>
        <v>6.6</v>
      </c>
      <c r="L69" s="68" t="s">
        <v>22</v>
      </c>
    </row>
    <row r="70" spans="1:12" s="63" customFormat="1" x14ac:dyDescent="0.2">
      <c r="A70" s="34"/>
      <c r="B70" s="121"/>
      <c r="C70" s="34">
        <v>1</v>
      </c>
      <c r="D70" s="36" t="s">
        <v>41</v>
      </c>
      <c r="E70" s="38">
        <v>1.2</v>
      </c>
      <c r="F70" s="36" t="s">
        <v>41</v>
      </c>
      <c r="G70" s="38">
        <v>1.2</v>
      </c>
      <c r="H70" s="36"/>
      <c r="I70" s="36"/>
      <c r="J70" s="79" t="s">
        <v>42</v>
      </c>
      <c r="K70" s="38">
        <f t="shared" si="6"/>
        <v>1.44</v>
      </c>
      <c r="L70" s="68" t="s">
        <v>22</v>
      </c>
    </row>
    <row r="71" spans="1:12" s="63" customFormat="1" x14ac:dyDescent="0.2">
      <c r="A71" s="34"/>
      <c r="B71" s="121" t="s">
        <v>141</v>
      </c>
      <c r="C71" s="128">
        <v>4</v>
      </c>
      <c r="D71" s="36" t="s">
        <v>41</v>
      </c>
      <c r="E71" s="38">
        <v>2.75</v>
      </c>
      <c r="F71" s="36" t="s">
        <v>41</v>
      </c>
      <c r="G71" s="38">
        <v>0.25</v>
      </c>
      <c r="H71" s="36"/>
      <c r="I71" s="36"/>
      <c r="J71" s="79" t="s">
        <v>42</v>
      </c>
      <c r="K71" s="38">
        <f t="shared" si="6"/>
        <v>2.75</v>
      </c>
      <c r="L71" s="68" t="s">
        <v>22</v>
      </c>
    </row>
    <row r="72" spans="1:12" s="63" customFormat="1" x14ac:dyDescent="0.2">
      <c r="A72" s="34"/>
      <c r="B72" s="121"/>
      <c r="C72" s="34">
        <v>1</v>
      </c>
      <c r="D72" s="36" t="s">
        <v>41</v>
      </c>
      <c r="E72" s="38">
        <v>4.8</v>
      </c>
      <c r="F72" s="36" t="s">
        <v>41</v>
      </c>
      <c r="G72" s="38">
        <v>0.25</v>
      </c>
      <c r="H72" s="36"/>
      <c r="I72" s="36"/>
      <c r="J72" s="79" t="s">
        <v>42</v>
      </c>
      <c r="K72" s="38">
        <f t="shared" si="6"/>
        <v>1.2</v>
      </c>
      <c r="L72" s="68" t="s">
        <v>22</v>
      </c>
    </row>
    <row r="73" spans="1:12" s="63" customFormat="1" ht="15" x14ac:dyDescent="0.2">
      <c r="A73" s="118"/>
      <c r="B73" s="106"/>
      <c r="C73" s="34"/>
      <c r="D73" s="36"/>
      <c r="E73" s="105"/>
      <c r="F73" s="114"/>
      <c r="G73" s="115" t="s">
        <v>31</v>
      </c>
      <c r="H73" s="114"/>
      <c r="I73" s="105"/>
      <c r="J73" s="114"/>
      <c r="K73" s="105">
        <f>SUM(K62:K72)</f>
        <v>181.26739999999998</v>
      </c>
      <c r="L73" s="98" t="s">
        <v>22</v>
      </c>
    </row>
    <row r="74" spans="1:12" s="63" customFormat="1" ht="15" x14ac:dyDescent="0.2">
      <c r="A74" s="118"/>
      <c r="B74" s="106"/>
      <c r="C74" s="34"/>
      <c r="D74" s="36"/>
      <c r="E74" s="105"/>
      <c r="F74" s="114"/>
      <c r="G74" s="115"/>
      <c r="H74" s="114"/>
      <c r="I74" s="105"/>
      <c r="J74" s="114"/>
      <c r="K74" s="105"/>
      <c r="L74" s="129"/>
    </row>
    <row r="75" spans="1:12" s="43" customFormat="1" ht="15" x14ac:dyDescent="0.2">
      <c r="A75" s="113"/>
      <c r="B75" s="266" t="s">
        <v>113</v>
      </c>
      <c r="C75" s="128"/>
      <c r="D75" s="91"/>
      <c r="E75" s="38"/>
      <c r="F75" s="91"/>
      <c r="G75" s="89"/>
      <c r="H75" s="36"/>
      <c r="I75" s="36"/>
      <c r="J75" s="36"/>
      <c r="K75" s="36"/>
      <c r="L75" s="63"/>
    </row>
    <row r="76" spans="1:12" s="63" customFormat="1" x14ac:dyDescent="0.2">
      <c r="A76" s="34"/>
      <c r="B76" s="121" t="s">
        <v>5</v>
      </c>
      <c r="C76" s="34">
        <f>C45</f>
        <v>8</v>
      </c>
      <c r="D76" s="36" t="s">
        <v>41</v>
      </c>
      <c r="E76" s="38">
        <f>2*(0.3*0.45)</f>
        <v>0.27</v>
      </c>
      <c r="F76" s="36" t="s">
        <v>41</v>
      </c>
      <c r="G76" s="38">
        <v>4.5</v>
      </c>
      <c r="H76" s="36"/>
      <c r="I76" s="36"/>
      <c r="J76" s="79" t="s">
        <v>42</v>
      </c>
      <c r="K76" s="38">
        <f>IF(C76,C76*E76*G76,"")</f>
        <v>9.7200000000000006</v>
      </c>
      <c r="L76" s="68" t="s">
        <v>22</v>
      </c>
    </row>
    <row r="77" spans="1:12" s="63" customFormat="1" ht="15" x14ac:dyDescent="0.2">
      <c r="A77" s="118"/>
      <c r="B77" s="106"/>
      <c r="C77" s="34"/>
      <c r="D77" s="36"/>
      <c r="E77" s="105"/>
      <c r="F77" s="114"/>
      <c r="G77" s="115" t="s">
        <v>31</v>
      </c>
      <c r="H77" s="114"/>
      <c r="I77" s="105"/>
      <c r="J77" s="114"/>
      <c r="K77" s="105">
        <f>SUM(K76:K76)</f>
        <v>9.7200000000000006</v>
      </c>
      <c r="L77" s="98" t="s">
        <v>22</v>
      </c>
    </row>
    <row r="78" spans="1:12" s="63" customFormat="1" ht="114" x14ac:dyDescent="0.2">
      <c r="A78" s="113">
        <f>LOOKUP(2,1/(A$1:A47&lt;&gt;""),A$1:A47)+1</f>
        <v>6</v>
      </c>
      <c r="B78" s="106" t="s">
        <v>72</v>
      </c>
      <c r="C78" s="127"/>
      <c r="D78" s="36"/>
      <c r="E78" s="38"/>
      <c r="F78" s="91"/>
      <c r="G78" s="89"/>
      <c r="H78" s="36"/>
      <c r="I78" s="36"/>
      <c r="J78" s="36"/>
      <c r="K78" s="36"/>
    </row>
    <row r="79" spans="1:12" s="63" customFormat="1" x14ac:dyDescent="0.2">
      <c r="A79" s="34"/>
      <c r="B79" s="106" t="s">
        <v>99</v>
      </c>
      <c r="C79" s="128">
        <f>K42+K41</f>
        <v>28.741700000000005</v>
      </c>
      <c r="D79" s="123"/>
      <c r="E79" s="38" t="s">
        <v>52</v>
      </c>
      <c r="F79" s="91"/>
      <c r="G79" s="99">
        <v>80</v>
      </c>
      <c r="H79" s="91" t="s">
        <v>53</v>
      </c>
      <c r="I79" s="36"/>
      <c r="J79" s="79" t="s">
        <v>42</v>
      </c>
      <c r="K79" s="100">
        <f t="shared" ref="K79:K81" si="7">C79*G79</f>
        <v>2299.3360000000002</v>
      </c>
      <c r="L79" s="63" t="s">
        <v>24</v>
      </c>
    </row>
    <row r="80" spans="1:12" s="63" customFormat="1" x14ac:dyDescent="0.2">
      <c r="A80" s="34"/>
      <c r="B80" s="106" t="s">
        <v>6</v>
      </c>
      <c r="C80" s="143">
        <f>K59</f>
        <v>3.8880000000000003</v>
      </c>
      <c r="D80" s="143"/>
      <c r="E80" s="38" t="s">
        <v>52</v>
      </c>
      <c r="F80" s="91"/>
      <c r="G80" s="99">
        <v>125</v>
      </c>
      <c r="H80" s="91" t="s">
        <v>53</v>
      </c>
      <c r="I80" s="36"/>
      <c r="J80" s="79" t="s">
        <v>42</v>
      </c>
      <c r="K80" s="100">
        <f t="shared" ref="K80" si="8">C80*G80</f>
        <v>486.00000000000006</v>
      </c>
      <c r="L80" s="36" t="s">
        <v>24</v>
      </c>
    </row>
    <row r="81" spans="1:13" s="63" customFormat="1" x14ac:dyDescent="0.2">
      <c r="A81" s="34"/>
      <c r="B81" s="106" t="s">
        <v>125</v>
      </c>
      <c r="C81" s="143">
        <f>K56</f>
        <v>21.324859999999997</v>
      </c>
      <c r="D81" s="143"/>
      <c r="E81" s="38" t="s">
        <v>52</v>
      </c>
      <c r="F81" s="91"/>
      <c r="G81" s="99">
        <v>100</v>
      </c>
      <c r="H81" s="91" t="s">
        <v>53</v>
      </c>
      <c r="I81" s="36"/>
      <c r="J81" s="79" t="s">
        <v>42</v>
      </c>
      <c r="K81" s="100">
        <f t="shared" si="7"/>
        <v>2132.4859999999999</v>
      </c>
      <c r="L81" s="36" t="s">
        <v>24</v>
      </c>
    </row>
    <row r="82" spans="1:13" s="63" customFormat="1" x14ac:dyDescent="0.2">
      <c r="A82" s="118"/>
      <c r="B82" s="106"/>
      <c r="C82" s="34"/>
      <c r="D82" s="36"/>
      <c r="E82" s="38"/>
      <c r="F82" s="36"/>
      <c r="G82" s="89" t="s">
        <v>43</v>
      </c>
      <c r="H82" s="36"/>
      <c r="I82" s="38"/>
      <c r="J82" s="36"/>
      <c r="K82" s="100">
        <f>SUM(K79:K81)</f>
        <v>4917.8220000000001</v>
      </c>
      <c r="L82" s="63" t="s">
        <v>24</v>
      </c>
    </row>
    <row r="83" spans="1:13" s="63" customFormat="1" x14ac:dyDescent="0.2">
      <c r="A83" s="118"/>
      <c r="B83" s="106"/>
      <c r="C83" s="128"/>
      <c r="D83" s="36"/>
      <c r="E83" s="38"/>
      <c r="F83" s="36"/>
      <c r="G83" s="89"/>
      <c r="H83" s="36"/>
      <c r="I83" s="38"/>
      <c r="J83" s="36"/>
      <c r="K83" s="100"/>
    </row>
    <row r="84" spans="1:13" s="63" customFormat="1" ht="42.75" x14ac:dyDescent="0.2">
      <c r="A84" s="34">
        <v>7</v>
      </c>
      <c r="B84" s="117" t="s">
        <v>3</v>
      </c>
      <c r="C84" s="128"/>
      <c r="D84" s="36"/>
      <c r="E84" s="38"/>
      <c r="F84" s="36"/>
      <c r="G84" s="89"/>
      <c r="H84" s="36"/>
      <c r="I84" s="36"/>
      <c r="J84" s="36"/>
      <c r="K84" s="36"/>
    </row>
    <row r="85" spans="1:13" s="63" customFormat="1" ht="15" x14ac:dyDescent="0.2">
      <c r="A85" s="118"/>
      <c r="B85" s="119" t="s">
        <v>105</v>
      </c>
      <c r="C85" s="34">
        <v>1</v>
      </c>
      <c r="D85" s="36" t="s">
        <v>41</v>
      </c>
      <c r="E85" s="38">
        <f>K11</f>
        <v>42</v>
      </c>
      <c r="F85" s="36" t="s">
        <v>41</v>
      </c>
      <c r="G85" s="89">
        <v>0.23</v>
      </c>
      <c r="H85" s="36" t="s">
        <v>41</v>
      </c>
      <c r="I85" s="38">
        <v>3</v>
      </c>
      <c r="J85" s="79" t="s">
        <v>42</v>
      </c>
      <c r="K85" s="38">
        <f>IF(C85,C85*E85*G85*I85,"")</f>
        <v>28.98</v>
      </c>
      <c r="L85" s="91" t="s">
        <v>20</v>
      </c>
    </row>
    <row r="86" spans="1:13" s="63" customFormat="1" x14ac:dyDescent="0.2">
      <c r="A86" s="118"/>
      <c r="B86" s="106"/>
      <c r="C86" s="34"/>
      <c r="D86" s="36"/>
      <c r="E86" s="38"/>
      <c r="F86" s="36"/>
      <c r="G86" s="89" t="s">
        <v>45</v>
      </c>
      <c r="H86" s="36"/>
      <c r="I86" s="38"/>
      <c r="J86" s="91" t="s">
        <v>46</v>
      </c>
      <c r="K86" s="38">
        <f>SUM(K84:K85)</f>
        <v>28.98</v>
      </c>
      <c r="L86" s="73" t="s">
        <v>20</v>
      </c>
    </row>
    <row r="87" spans="1:13" s="63" customFormat="1" ht="15" x14ac:dyDescent="0.2">
      <c r="A87" s="118"/>
      <c r="B87" s="119" t="s">
        <v>47</v>
      </c>
      <c r="C87" s="34"/>
      <c r="D87" s="36"/>
      <c r="E87" s="38"/>
      <c r="F87" s="36"/>
      <c r="G87" s="89"/>
      <c r="H87" s="36"/>
      <c r="I87" s="38"/>
      <c r="J87" s="91"/>
      <c r="K87" s="38"/>
      <c r="L87" s="91"/>
    </row>
    <row r="88" spans="1:13" s="63" customFormat="1" x14ac:dyDescent="0.2">
      <c r="A88" s="118"/>
      <c r="B88" s="106" t="s">
        <v>69</v>
      </c>
      <c r="C88" s="34">
        <v>4</v>
      </c>
      <c r="D88" s="36" t="s">
        <v>41</v>
      </c>
      <c r="E88" s="38">
        <v>1.5</v>
      </c>
      <c r="F88" s="36" t="s">
        <v>41</v>
      </c>
      <c r="G88" s="89">
        <v>0.23</v>
      </c>
      <c r="H88" s="36" t="s">
        <v>41</v>
      </c>
      <c r="I88" s="38">
        <v>2.1</v>
      </c>
      <c r="J88" s="79" t="s">
        <v>42</v>
      </c>
      <c r="K88" s="38">
        <f>IF(C88,C88*E88*G88*I88,"")</f>
        <v>2.8980000000000006</v>
      </c>
      <c r="L88" s="73" t="s">
        <v>20</v>
      </c>
    </row>
    <row r="89" spans="1:13" s="63" customFormat="1" x14ac:dyDescent="0.2">
      <c r="A89" s="118"/>
      <c r="B89" s="106" t="s">
        <v>70</v>
      </c>
      <c r="C89" s="34">
        <v>9</v>
      </c>
      <c r="D89" s="36" t="s">
        <v>41</v>
      </c>
      <c r="E89" s="38">
        <v>1.8</v>
      </c>
      <c r="F89" s="36" t="s">
        <v>41</v>
      </c>
      <c r="G89" s="89">
        <v>0.23</v>
      </c>
      <c r="H89" s="36" t="s">
        <v>41</v>
      </c>
      <c r="I89" s="38">
        <v>1.2</v>
      </c>
      <c r="J89" s="79" t="s">
        <v>42</v>
      </c>
      <c r="K89" s="38">
        <f>IF(C89,C89*E89*G89*I89,"")</f>
        <v>4.4711999999999996</v>
      </c>
      <c r="L89" s="73" t="s">
        <v>20</v>
      </c>
    </row>
    <row r="90" spans="1:13" s="63" customFormat="1" x14ac:dyDescent="0.2">
      <c r="A90" s="118"/>
      <c r="B90" s="124" t="s">
        <v>48</v>
      </c>
      <c r="C90" s="34">
        <v>1</v>
      </c>
      <c r="D90" s="36" t="s">
        <v>41</v>
      </c>
      <c r="E90" s="38">
        <f>E85</f>
        <v>42</v>
      </c>
      <c r="F90" s="36" t="s">
        <v>41</v>
      </c>
      <c r="G90" s="89">
        <v>0.23</v>
      </c>
      <c r="H90" s="36" t="s">
        <v>41</v>
      </c>
      <c r="I90" s="38">
        <v>0.23</v>
      </c>
      <c r="J90" s="79" t="s">
        <v>42</v>
      </c>
      <c r="K90" s="38">
        <f t="shared" ref="K90" si="9">IF(C90,C90*E90*G90*I90,"")</f>
        <v>2.2218</v>
      </c>
      <c r="L90" s="73" t="s">
        <v>20</v>
      </c>
    </row>
    <row r="91" spans="1:13" s="63" customFormat="1" x14ac:dyDescent="0.2">
      <c r="A91" s="118"/>
      <c r="B91" s="106"/>
      <c r="C91" s="34"/>
      <c r="D91" s="36"/>
      <c r="E91" s="38"/>
      <c r="F91" s="36"/>
      <c r="G91" s="89" t="s">
        <v>49</v>
      </c>
      <c r="H91" s="36"/>
      <c r="I91" s="38"/>
      <c r="J91" s="91" t="s">
        <v>44</v>
      </c>
      <c r="K91" s="38">
        <f>SUM(K89:K90)</f>
        <v>6.6929999999999996</v>
      </c>
      <c r="L91" s="73" t="s">
        <v>20</v>
      </c>
    </row>
    <row r="92" spans="1:13" s="63" customFormat="1" ht="15" x14ac:dyDescent="0.2">
      <c r="A92" s="34"/>
      <c r="B92" s="117" t="s">
        <v>104</v>
      </c>
      <c r="C92" s="34"/>
      <c r="D92" s="120"/>
      <c r="E92" s="123">
        <f>K86</f>
        <v>28.98</v>
      </c>
      <c r="F92" s="91" t="s">
        <v>44</v>
      </c>
      <c r="G92" s="123">
        <f>K91</f>
        <v>6.6929999999999996</v>
      </c>
      <c r="H92" s="126"/>
      <c r="I92" s="36"/>
      <c r="J92" s="267" t="s">
        <v>42</v>
      </c>
      <c r="K92" s="105">
        <f>E92-G92</f>
        <v>22.286999999999999</v>
      </c>
      <c r="L92" s="73" t="s">
        <v>20</v>
      </c>
    </row>
    <row r="93" spans="1:13" s="43" customFormat="1" ht="75" x14ac:dyDescent="0.2">
      <c r="A93" s="113">
        <f>LOOKUP(2,1/(A$1:A92&lt;&gt;""),A$1:A92)+1</f>
        <v>8</v>
      </c>
      <c r="B93" s="266" t="str">
        <f>GF1_ABS!B18</f>
        <v>Half brick masonry in Superstructure , above plinth level upto floor V  level  using bricks of designation 75  in Cement mortar 1 : 4 (1 cement : 4 coarse sand)</v>
      </c>
      <c r="C93" s="128"/>
      <c r="D93" s="36"/>
      <c r="E93" s="38"/>
      <c r="F93" s="36"/>
      <c r="G93" s="89"/>
      <c r="H93" s="36"/>
      <c r="I93" s="36"/>
      <c r="J93" s="36"/>
      <c r="K93" s="36"/>
      <c r="L93" s="63"/>
      <c r="M93" s="63"/>
    </row>
    <row r="94" spans="1:13" s="63" customFormat="1" x14ac:dyDescent="0.2">
      <c r="A94" s="34"/>
      <c r="B94" s="121"/>
      <c r="C94" s="34">
        <v>1</v>
      </c>
      <c r="D94" s="36" t="s">
        <v>41</v>
      </c>
      <c r="E94" s="38">
        <f>K21</f>
        <v>11.7</v>
      </c>
      <c r="F94" s="36" t="s">
        <v>41</v>
      </c>
      <c r="G94" s="38">
        <v>3</v>
      </c>
      <c r="H94" s="36"/>
      <c r="I94" s="36"/>
      <c r="J94" s="79" t="s">
        <v>42</v>
      </c>
      <c r="K94" s="38">
        <f>IF(C94,C94*E94*G94,"")</f>
        <v>35.099999999999994</v>
      </c>
      <c r="L94" s="68" t="s">
        <v>22</v>
      </c>
    </row>
    <row r="95" spans="1:13" s="63" customFormat="1" ht="15" x14ac:dyDescent="0.2">
      <c r="A95" s="118"/>
      <c r="B95" s="106"/>
      <c r="C95" s="34"/>
      <c r="D95" s="36"/>
      <c r="E95" s="105"/>
      <c r="F95" s="114"/>
      <c r="G95" s="115" t="s">
        <v>31</v>
      </c>
      <c r="H95" s="114"/>
      <c r="I95" s="105"/>
      <c r="J95" s="114"/>
      <c r="K95" s="105">
        <f>SUM(K94)</f>
        <v>35.099999999999994</v>
      </c>
      <c r="L95" s="98" t="s">
        <v>22</v>
      </c>
    </row>
    <row r="96" spans="1:13" s="48" customFormat="1" ht="57" x14ac:dyDescent="0.2">
      <c r="A96" s="34">
        <v>8</v>
      </c>
      <c r="B96" s="35" t="s">
        <v>85</v>
      </c>
      <c r="C96" s="34"/>
      <c r="D96" s="37"/>
      <c r="E96" s="34"/>
      <c r="F96" s="37"/>
      <c r="G96" s="38"/>
    </row>
    <row r="97" spans="1:12" s="63" customFormat="1" ht="15" x14ac:dyDescent="0.2">
      <c r="A97" s="118"/>
      <c r="B97" s="119" t="s">
        <v>105</v>
      </c>
      <c r="C97" s="34">
        <v>1</v>
      </c>
      <c r="D97" s="36" t="s">
        <v>41</v>
      </c>
      <c r="E97" s="38">
        <f>E85</f>
        <v>42</v>
      </c>
      <c r="F97" s="36" t="s">
        <v>41</v>
      </c>
      <c r="G97" s="89">
        <v>0.45</v>
      </c>
      <c r="H97" s="36" t="s">
        <v>41</v>
      </c>
      <c r="I97" s="38">
        <v>0.9</v>
      </c>
      <c r="J97" s="79" t="s">
        <v>42</v>
      </c>
      <c r="K97" s="38">
        <f>IF(C97,C97*E97*G97*I97,"")</f>
        <v>17.010000000000002</v>
      </c>
      <c r="L97" s="91" t="s">
        <v>20</v>
      </c>
    </row>
    <row r="98" spans="1:12" s="63" customFormat="1" x14ac:dyDescent="0.2">
      <c r="A98" s="118"/>
      <c r="B98" s="106"/>
      <c r="C98" s="34"/>
      <c r="D98" s="36"/>
      <c r="E98" s="38"/>
      <c r="F98" s="36"/>
      <c r="G98" s="89" t="s">
        <v>43</v>
      </c>
      <c r="H98" s="36"/>
      <c r="I98" s="38"/>
      <c r="J98" s="36"/>
      <c r="K98" s="38">
        <f>SUM(K97:K97)</f>
        <v>17.010000000000002</v>
      </c>
      <c r="L98" s="91" t="s">
        <v>20</v>
      </c>
    </row>
    <row r="99" spans="1:12" s="63" customFormat="1" x14ac:dyDescent="0.2">
      <c r="A99" s="118"/>
      <c r="B99" s="106"/>
      <c r="C99" s="34"/>
      <c r="D99" s="36"/>
      <c r="E99" s="38"/>
      <c r="F99" s="36"/>
      <c r="G99" s="89"/>
      <c r="H99" s="36"/>
      <c r="I99" s="38"/>
      <c r="J99" s="36"/>
      <c r="K99" s="38"/>
      <c r="L99" s="91"/>
    </row>
    <row r="100" spans="1:12" s="63" customFormat="1" ht="42.75" x14ac:dyDescent="0.2">
      <c r="A100" s="118">
        <v>9</v>
      </c>
      <c r="B100" s="117" t="s">
        <v>67</v>
      </c>
      <c r="C100" s="128"/>
      <c r="D100" s="36"/>
      <c r="E100" s="38"/>
      <c r="F100" s="91"/>
      <c r="G100" s="89"/>
      <c r="H100" s="36"/>
      <c r="I100" s="36"/>
      <c r="J100" s="36"/>
      <c r="K100" s="36"/>
    </row>
    <row r="101" spans="1:12" s="63" customFormat="1" ht="15" x14ac:dyDescent="0.2">
      <c r="A101" s="118"/>
      <c r="B101" s="119" t="s">
        <v>71</v>
      </c>
      <c r="C101" s="128"/>
      <c r="D101" s="36"/>
      <c r="E101" s="38"/>
      <c r="F101" s="91"/>
      <c r="G101" s="89"/>
      <c r="H101" s="36"/>
      <c r="I101" s="36"/>
      <c r="J101" s="36"/>
      <c r="K101" s="36"/>
    </row>
    <row r="102" spans="1:12" s="63" customFormat="1" x14ac:dyDescent="0.2">
      <c r="A102" s="118"/>
      <c r="B102" s="125" t="s">
        <v>73</v>
      </c>
      <c r="C102" s="34">
        <v>2</v>
      </c>
      <c r="D102" s="36" t="s">
        <v>41</v>
      </c>
      <c r="E102" s="38">
        <f>E9</f>
        <v>6</v>
      </c>
      <c r="F102" s="36" t="s">
        <v>41</v>
      </c>
      <c r="G102" s="38">
        <v>3.6</v>
      </c>
      <c r="H102" s="36"/>
      <c r="I102" s="38"/>
      <c r="J102" s="79" t="s">
        <v>42</v>
      </c>
      <c r="K102" s="38">
        <f>IF(C102,C102*E102*G102,"")</f>
        <v>43.2</v>
      </c>
      <c r="L102" s="68" t="s">
        <v>22</v>
      </c>
    </row>
    <row r="103" spans="1:12" s="63" customFormat="1" x14ac:dyDescent="0.2">
      <c r="A103" s="118"/>
      <c r="B103" s="125" t="s">
        <v>73</v>
      </c>
      <c r="C103" s="34">
        <v>2</v>
      </c>
      <c r="D103" s="36" t="s">
        <v>41</v>
      </c>
      <c r="E103" s="38">
        <f>E10</f>
        <v>15</v>
      </c>
      <c r="F103" s="36" t="s">
        <v>41</v>
      </c>
      <c r="G103" s="38">
        <v>3.6</v>
      </c>
      <c r="H103" s="36"/>
      <c r="I103" s="38"/>
      <c r="J103" s="79" t="s">
        <v>42</v>
      </c>
      <c r="K103" s="38">
        <f>IF(C103,C103*E103*G103,"")</f>
        <v>108</v>
      </c>
      <c r="L103" s="68" t="s">
        <v>22</v>
      </c>
    </row>
    <row r="104" spans="1:12" s="63" customFormat="1" x14ac:dyDescent="0.2">
      <c r="A104" s="118"/>
      <c r="B104" s="125" t="s">
        <v>146</v>
      </c>
      <c r="C104" s="34">
        <v>2</v>
      </c>
      <c r="D104" s="36" t="s">
        <v>41</v>
      </c>
      <c r="E104" s="38">
        <f>K95</f>
        <v>35.099999999999994</v>
      </c>
      <c r="F104" s="36" t="s">
        <v>41</v>
      </c>
      <c r="G104" s="38">
        <v>1</v>
      </c>
      <c r="H104" s="36"/>
      <c r="I104" s="38"/>
      <c r="J104" s="79" t="s">
        <v>42</v>
      </c>
      <c r="K104" s="38">
        <f>IF(C104,C104*E104*G104,"")</f>
        <v>70.199999999999989</v>
      </c>
      <c r="L104" s="68" t="s">
        <v>22</v>
      </c>
    </row>
    <row r="105" spans="1:12" s="63" customFormat="1" x14ac:dyDescent="0.2">
      <c r="A105" s="118"/>
      <c r="B105" s="106"/>
      <c r="C105" s="34"/>
      <c r="D105" s="36"/>
      <c r="E105" s="38"/>
      <c r="F105" s="36"/>
      <c r="G105" s="89" t="s">
        <v>45</v>
      </c>
      <c r="H105" s="36"/>
      <c r="I105" s="38"/>
      <c r="J105" s="91" t="s">
        <v>46</v>
      </c>
      <c r="K105" s="38">
        <f>SUM(K102:K104)</f>
        <v>221.39999999999998</v>
      </c>
      <c r="L105" s="78" t="s">
        <v>22</v>
      </c>
    </row>
    <row r="106" spans="1:12" s="63" customFormat="1" ht="15" x14ac:dyDescent="0.2">
      <c r="A106" s="118"/>
      <c r="B106" s="119" t="s">
        <v>47</v>
      </c>
      <c r="C106" s="34"/>
      <c r="D106" s="36"/>
      <c r="E106" s="38"/>
      <c r="F106" s="36"/>
      <c r="G106" s="89"/>
      <c r="H106" s="36"/>
      <c r="I106" s="38"/>
      <c r="J106" s="91"/>
      <c r="K106" s="38"/>
      <c r="L106" s="68"/>
    </row>
    <row r="107" spans="1:12" s="63" customFormat="1" x14ac:dyDescent="0.2">
      <c r="A107" s="118"/>
      <c r="B107" s="125" t="s">
        <v>69</v>
      </c>
      <c r="C107" s="34">
        <v>3</v>
      </c>
      <c r="D107" s="36" t="s">
        <v>41</v>
      </c>
      <c r="E107" s="38">
        <v>1.2</v>
      </c>
      <c r="F107" s="36" t="s">
        <v>41</v>
      </c>
      <c r="G107" s="38">
        <v>2.1</v>
      </c>
      <c r="H107" s="36"/>
      <c r="I107" s="38"/>
      <c r="J107" s="79" t="s">
        <v>42</v>
      </c>
      <c r="K107" s="38">
        <f>IF(C107,C107*E107*G107,"")</f>
        <v>7.56</v>
      </c>
      <c r="L107" s="68" t="s">
        <v>22</v>
      </c>
    </row>
    <row r="108" spans="1:12" s="63" customFormat="1" x14ac:dyDescent="0.2">
      <c r="A108" s="118"/>
      <c r="B108" s="125" t="s">
        <v>70</v>
      </c>
      <c r="C108" s="34">
        <v>9</v>
      </c>
      <c r="D108" s="36" t="s">
        <v>41</v>
      </c>
      <c r="E108" s="38">
        <v>1.5</v>
      </c>
      <c r="F108" s="36" t="s">
        <v>41</v>
      </c>
      <c r="G108" s="38">
        <v>1.2</v>
      </c>
      <c r="H108" s="36"/>
      <c r="I108" s="38"/>
      <c r="J108" s="79" t="s">
        <v>42</v>
      </c>
      <c r="K108" s="38">
        <f>IF(C108,C108*E108*G108,"")</f>
        <v>16.2</v>
      </c>
      <c r="L108" s="68" t="s">
        <v>22</v>
      </c>
    </row>
    <row r="109" spans="1:12" s="63" customFormat="1" x14ac:dyDescent="0.2">
      <c r="A109" s="118"/>
      <c r="B109" s="106"/>
      <c r="C109" s="34"/>
      <c r="D109" s="36"/>
      <c r="E109" s="38"/>
      <c r="F109" s="36"/>
      <c r="G109" s="89" t="s">
        <v>49</v>
      </c>
      <c r="H109" s="36"/>
      <c r="I109" s="38"/>
      <c r="J109" s="91" t="s">
        <v>44</v>
      </c>
      <c r="K109" s="38">
        <f>SUM(K107:K108)</f>
        <v>23.759999999999998</v>
      </c>
      <c r="L109" s="78" t="s">
        <v>22</v>
      </c>
    </row>
    <row r="110" spans="1:12" s="63" customFormat="1" ht="15" x14ac:dyDescent="0.2">
      <c r="A110" s="34"/>
      <c r="B110" s="117" t="s">
        <v>101</v>
      </c>
      <c r="C110" s="34"/>
      <c r="D110" s="120">
        <f>K105</f>
        <v>221.39999999999998</v>
      </c>
      <c r="E110" s="123"/>
      <c r="F110" s="91" t="s">
        <v>44</v>
      </c>
      <c r="G110" s="123">
        <f>K109</f>
        <v>23.759999999999998</v>
      </c>
      <c r="H110" s="126"/>
      <c r="I110" s="36"/>
      <c r="J110" s="267" t="s">
        <v>42</v>
      </c>
      <c r="K110" s="105">
        <f>D110-G110</f>
        <v>197.64</v>
      </c>
      <c r="L110" s="68" t="s">
        <v>22</v>
      </c>
    </row>
    <row r="111" spans="1:12" s="63" customFormat="1" x14ac:dyDescent="0.2">
      <c r="A111" s="118"/>
      <c r="B111" s="124" t="s">
        <v>50</v>
      </c>
      <c r="C111" s="128"/>
      <c r="D111" s="36"/>
      <c r="E111" s="38"/>
      <c r="F111" s="91"/>
      <c r="G111" s="89"/>
      <c r="H111" s="36"/>
      <c r="I111" s="36"/>
      <c r="J111" s="36"/>
      <c r="K111" s="36"/>
    </row>
    <row r="112" spans="1:12" s="63" customFormat="1" x14ac:dyDescent="0.2">
      <c r="A112" s="118"/>
      <c r="B112" s="106"/>
      <c r="C112" s="34">
        <v>2</v>
      </c>
      <c r="D112" s="36" t="s">
        <v>41</v>
      </c>
      <c r="E112" s="38">
        <f>E102</f>
        <v>6</v>
      </c>
      <c r="F112" s="36" t="s">
        <v>41</v>
      </c>
      <c r="G112" s="38">
        <v>4.3499999999999996</v>
      </c>
      <c r="H112" s="36"/>
      <c r="I112" s="38"/>
      <c r="J112" s="79" t="s">
        <v>42</v>
      </c>
      <c r="K112" s="38">
        <f>IF(C112,C112*E112*G112,"")</f>
        <v>52.199999999999996</v>
      </c>
      <c r="L112" s="68" t="s">
        <v>22</v>
      </c>
    </row>
    <row r="113" spans="1:12" s="63" customFormat="1" x14ac:dyDescent="0.2">
      <c r="A113" s="118"/>
      <c r="B113" s="106"/>
      <c r="C113" s="34">
        <v>2</v>
      </c>
      <c r="D113" s="36" t="s">
        <v>41</v>
      </c>
      <c r="E113" s="38">
        <f>E103</f>
        <v>15</v>
      </c>
      <c r="F113" s="36" t="s">
        <v>41</v>
      </c>
      <c r="G113" s="38">
        <v>4.3499999999999996</v>
      </c>
      <c r="H113" s="36"/>
      <c r="I113" s="38"/>
      <c r="J113" s="79" t="s">
        <v>42</v>
      </c>
      <c r="K113" s="38">
        <f>IF(C113,C113*E113*G113,"")</f>
        <v>130.5</v>
      </c>
      <c r="L113" s="68" t="s">
        <v>22</v>
      </c>
    </row>
    <row r="114" spans="1:12" s="63" customFormat="1" x14ac:dyDescent="0.2">
      <c r="A114" s="118"/>
      <c r="B114" s="106"/>
      <c r="C114" s="34"/>
      <c r="D114" s="36"/>
      <c r="E114" s="38"/>
      <c r="F114" s="104" t="s">
        <v>76</v>
      </c>
      <c r="G114" s="89"/>
      <c r="H114" s="36"/>
      <c r="I114" s="38"/>
      <c r="J114" s="91" t="s">
        <v>75</v>
      </c>
      <c r="K114" s="38">
        <f>SUM(K112:K113)</f>
        <v>182.7</v>
      </c>
      <c r="L114" s="78" t="s">
        <v>22</v>
      </c>
    </row>
    <row r="115" spans="1:12" s="63" customFormat="1" ht="15" x14ac:dyDescent="0.2">
      <c r="A115" s="34"/>
      <c r="B115" s="117" t="s">
        <v>74</v>
      </c>
      <c r="C115" s="34"/>
      <c r="D115" s="120">
        <f>K114</f>
        <v>182.7</v>
      </c>
      <c r="E115" s="123"/>
      <c r="F115" s="91" t="s">
        <v>44</v>
      </c>
      <c r="G115" s="123">
        <v>0</v>
      </c>
      <c r="H115" s="126"/>
      <c r="I115" s="36"/>
      <c r="J115" s="267" t="s">
        <v>42</v>
      </c>
      <c r="K115" s="105">
        <f>D115-G115</f>
        <v>182.7</v>
      </c>
      <c r="L115" s="68" t="s">
        <v>22</v>
      </c>
    </row>
    <row r="116" spans="1:12" s="63" customFormat="1" x14ac:dyDescent="0.2">
      <c r="A116" s="118"/>
      <c r="B116" s="106"/>
      <c r="C116" s="34"/>
      <c r="D116" s="36"/>
      <c r="E116" s="38"/>
      <c r="F116" s="104"/>
      <c r="G116" s="89"/>
      <c r="H116" s="36"/>
      <c r="I116" s="38"/>
      <c r="J116" s="91"/>
      <c r="K116" s="38"/>
      <c r="L116" s="68"/>
    </row>
    <row r="117" spans="1:12" s="63" customFormat="1" ht="15" x14ac:dyDescent="0.2">
      <c r="A117" s="34"/>
      <c r="B117" s="117" t="s">
        <v>51</v>
      </c>
      <c r="C117" s="34"/>
      <c r="D117" s="120"/>
      <c r="E117" s="123">
        <f>K110</f>
        <v>197.64</v>
      </c>
      <c r="F117" s="91" t="s">
        <v>46</v>
      </c>
      <c r="G117" s="123">
        <f>K115</f>
        <v>182.7</v>
      </c>
      <c r="H117" s="126"/>
      <c r="I117" s="36"/>
      <c r="J117" s="267" t="s">
        <v>42</v>
      </c>
      <c r="K117" s="105">
        <f>E117+G117</f>
        <v>380.34</v>
      </c>
      <c r="L117" s="68" t="s">
        <v>22</v>
      </c>
    </row>
    <row r="118" spans="1:12" s="63" customFormat="1" ht="15" x14ac:dyDescent="0.2">
      <c r="A118" s="118"/>
      <c r="B118" s="106"/>
      <c r="C118" s="128"/>
      <c r="D118" s="126"/>
      <c r="E118" s="126"/>
      <c r="F118" s="36"/>
      <c r="G118" s="105"/>
      <c r="H118" s="268"/>
      <c r="I118" s="105"/>
      <c r="J118" s="267"/>
      <c r="K118" s="105"/>
      <c r="L118" s="103"/>
    </row>
    <row r="119" spans="1:12" s="43" customFormat="1" ht="30" x14ac:dyDescent="0.2">
      <c r="A119" s="113">
        <f>LOOKUP(2,1/(A$1:A118&lt;&gt;""),A$1:A118)+1</f>
        <v>10</v>
      </c>
      <c r="B119" s="266" t="s">
        <v>121</v>
      </c>
      <c r="C119" s="128"/>
      <c r="D119" s="36"/>
      <c r="E119" s="38"/>
      <c r="F119" s="91"/>
      <c r="G119" s="89"/>
      <c r="H119" s="36"/>
      <c r="I119" s="36"/>
      <c r="J119" s="36"/>
      <c r="K119" s="36"/>
      <c r="L119" s="63"/>
    </row>
    <row r="120" spans="1:12" s="63" customFormat="1" x14ac:dyDescent="0.2">
      <c r="A120" s="34"/>
      <c r="B120" s="121" t="s">
        <v>147</v>
      </c>
      <c r="C120" s="34">
        <v>1</v>
      </c>
      <c r="D120" s="36" t="s">
        <v>41</v>
      </c>
      <c r="E120" s="38">
        <f>E112</f>
        <v>6</v>
      </c>
      <c r="F120" s="36" t="s">
        <v>41</v>
      </c>
      <c r="G120" s="38">
        <f>E113</f>
        <v>15</v>
      </c>
      <c r="H120" s="36"/>
      <c r="I120" s="36"/>
      <c r="J120" s="79" t="s">
        <v>42</v>
      </c>
      <c r="K120" s="38">
        <f>IF(C120,C120*E120*G120,"")</f>
        <v>90</v>
      </c>
      <c r="L120" s="68" t="s">
        <v>22</v>
      </c>
    </row>
    <row r="121" spans="1:12" s="63" customFormat="1" ht="15" x14ac:dyDescent="0.2">
      <c r="A121" s="34"/>
      <c r="B121" s="121" t="s">
        <v>148</v>
      </c>
      <c r="C121" s="34">
        <v>1</v>
      </c>
      <c r="D121" s="36" t="s">
        <v>41</v>
      </c>
      <c r="E121" s="38">
        <f>K67</f>
        <v>10.8</v>
      </c>
      <c r="F121" s="36" t="s">
        <v>41</v>
      </c>
      <c r="G121" s="105">
        <v>1</v>
      </c>
      <c r="H121" s="36"/>
      <c r="I121" s="36"/>
      <c r="J121" s="79" t="s">
        <v>42</v>
      </c>
      <c r="K121" s="38">
        <f>IF(C121,C121*E121*G121,"")</f>
        <v>10.8</v>
      </c>
      <c r="L121" s="68" t="s">
        <v>22</v>
      </c>
    </row>
    <row r="122" spans="1:12" s="63" customFormat="1" ht="15" x14ac:dyDescent="0.2">
      <c r="A122" s="118"/>
      <c r="B122" s="106"/>
      <c r="C122" s="34"/>
      <c r="D122" s="36"/>
      <c r="E122" s="105"/>
      <c r="F122" s="114"/>
      <c r="G122" s="115" t="s">
        <v>31</v>
      </c>
      <c r="H122" s="114"/>
      <c r="I122" s="105"/>
      <c r="J122" s="114"/>
      <c r="K122" s="105">
        <f>SUM(K120:K121)</f>
        <v>100.8</v>
      </c>
      <c r="L122" s="98" t="s">
        <v>22</v>
      </c>
    </row>
    <row r="123" spans="1:12" s="43" customFormat="1" ht="30" x14ac:dyDescent="0.2">
      <c r="A123" s="113">
        <f>LOOKUP(2,1/(A$1:A122&lt;&gt;""),A$1:A122)+1</f>
        <v>11</v>
      </c>
      <c r="B123" s="266" t="s">
        <v>120</v>
      </c>
      <c r="C123" s="128"/>
      <c r="D123" s="36"/>
      <c r="E123" s="38"/>
      <c r="F123" s="91"/>
      <c r="G123" s="89"/>
      <c r="H123" s="36"/>
      <c r="I123" s="36"/>
      <c r="J123" s="36"/>
      <c r="K123" s="36"/>
      <c r="L123" s="63"/>
    </row>
    <row r="124" spans="1:12" s="63" customFormat="1" x14ac:dyDescent="0.2">
      <c r="A124" s="34"/>
      <c r="B124" s="121" t="s">
        <v>132</v>
      </c>
      <c r="C124" s="34">
        <v>16</v>
      </c>
      <c r="D124" s="36" t="s">
        <v>41</v>
      </c>
      <c r="E124" s="38">
        <v>3</v>
      </c>
      <c r="F124" s="36"/>
      <c r="G124" s="38"/>
      <c r="H124" s="36"/>
      <c r="I124" s="36"/>
      <c r="J124" s="79" t="s">
        <v>42</v>
      </c>
      <c r="K124" s="38">
        <f>IF(C124,C124*E124,"")</f>
        <v>48</v>
      </c>
      <c r="L124" s="68" t="s">
        <v>29</v>
      </c>
    </row>
    <row r="125" spans="1:12" s="63" customFormat="1" x14ac:dyDescent="0.2">
      <c r="A125" s="34"/>
      <c r="B125" s="121" t="s">
        <v>149</v>
      </c>
      <c r="C125" s="34">
        <v>3</v>
      </c>
      <c r="D125" s="36" t="s">
        <v>41</v>
      </c>
      <c r="E125" s="38">
        <f>K11</f>
        <v>42</v>
      </c>
      <c r="F125" s="36"/>
      <c r="G125" s="38"/>
      <c r="H125" s="36"/>
      <c r="I125" s="36"/>
      <c r="J125" s="79" t="s">
        <v>42</v>
      </c>
      <c r="K125" s="38">
        <f>IF(C125,C125*E125,"")</f>
        <v>126</v>
      </c>
      <c r="L125" s="68" t="s">
        <v>29</v>
      </c>
    </row>
    <row r="126" spans="1:12" s="63" customFormat="1" ht="15" x14ac:dyDescent="0.2">
      <c r="A126" s="118"/>
      <c r="B126" s="106"/>
      <c r="C126" s="34"/>
      <c r="D126" s="36"/>
      <c r="E126" s="105"/>
      <c r="F126" s="114"/>
      <c r="G126" s="115" t="s">
        <v>31</v>
      </c>
      <c r="H126" s="114"/>
      <c r="I126" s="105"/>
      <c r="J126" s="114"/>
      <c r="K126" s="105">
        <f>SUM(K124:K125)</f>
        <v>174</v>
      </c>
      <c r="L126" s="68" t="s">
        <v>29</v>
      </c>
    </row>
    <row r="127" spans="1:12" s="43" customFormat="1" ht="45" x14ac:dyDescent="0.2">
      <c r="A127" s="113">
        <f>LOOKUP(2,1/(A$1:A126&lt;&gt;""),A$1:A126)+1</f>
        <v>12</v>
      </c>
      <c r="B127" s="266" t="s">
        <v>119</v>
      </c>
      <c r="C127" s="128"/>
      <c r="D127" s="36"/>
      <c r="E127" s="38"/>
      <c r="F127" s="91"/>
      <c r="G127" s="89"/>
      <c r="H127" s="36"/>
      <c r="I127" s="36"/>
      <c r="J127" s="36"/>
      <c r="K127" s="36"/>
      <c r="L127" s="63"/>
    </row>
    <row r="128" spans="1:12" s="63" customFormat="1" ht="15" x14ac:dyDescent="0.2">
      <c r="A128" s="34"/>
      <c r="B128" s="121" t="s">
        <v>150</v>
      </c>
      <c r="C128" s="34"/>
      <c r="D128" s="36" t="s">
        <v>41</v>
      </c>
      <c r="E128" s="38">
        <f>K74</f>
        <v>0</v>
      </c>
      <c r="F128" s="36" t="s">
        <v>41</v>
      </c>
      <c r="G128" s="105">
        <v>1</v>
      </c>
      <c r="H128" s="36"/>
      <c r="I128" s="36"/>
      <c r="J128" s="79" t="s">
        <v>42</v>
      </c>
      <c r="K128" s="38">
        <f>K110</f>
        <v>197.64</v>
      </c>
      <c r="L128" s="68" t="s">
        <v>22</v>
      </c>
    </row>
    <row r="129" spans="1:12" s="63" customFormat="1" ht="15" x14ac:dyDescent="0.2">
      <c r="A129" s="118"/>
      <c r="B129" s="106"/>
      <c r="C129" s="34"/>
      <c r="D129" s="36"/>
      <c r="E129" s="105"/>
      <c r="F129" s="114"/>
      <c r="G129" s="115" t="s">
        <v>31</v>
      </c>
      <c r="H129" s="114"/>
      <c r="I129" s="105"/>
      <c r="J129" s="114"/>
      <c r="K129" s="105">
        <f>SUM(K127:K128)</f>
        <v>197.64</v>
      </c>
      <c r="L129" s="98" t="s">
        <v>22</v>
      </c>
    </row>
    <row r="130" spans="1:12" s="63" customFormat="1" ht="199.5" x14ac:dyDescent="0.2">
      <c r="A130" s="34">
        <v>10</v>
      </c>
      <c r="B130" s="106" t="s">
        <v>107</v>
      </c>
      <c r="C130" s="128"/>
      <c r="D130" s="36"/>
      <c r="E130" s="38"/>
      <c r="F130" s="91"/>
      <c r="G130" s="89"/>
      <c r="H130" s="36"/>
      <c r="I130" s="36"/>
      <c r="J130" s="36"/>
      <c r="K130" s="36"/>
    </row>
    <row r="131" spans="1:12" s="63" customFormat="1" x14ac:dyDescent="0.2">
      <c r="A131" s="118"/>
      <c r="B131" s="106" t="s">
        <v>69</v>
      </c>
      <c r="C131" s="34">
        <f>C88</f>
        <v>4</v>
      </c>
      <c r="D131" s="91" t="s">
        <v>54</v>
      </c>
      <c r="E131" s="38">
        <v>1.8</v>
      </c>
      <c r="F131" s="91" t="s">
        <v>46</v>
      </c>
      <c r="G131" s="89">
        <v>2.15</v>
      </c>
      <c r="H131" s="91" t="s">
        <v>46</v>
      </c>
      <c r="I131" s="38">
        <v>2.15</v>
      </c>
      <c r="J131" s="91" t="s">
        <v>55</v>
      </c>
      <c r="K131" s="38">
        <f>IF(C131,C131*E131*G131*I131,"")</f>
        <v>33.281999999999996</v>
      </c>
      <c r="L131" s="68" t="s">
        <v>29</v>
      </c>
    </row>
    <row r="132" spans="1:12" s="63" customFormat="1" x14ac:dyDescent="0.2">
      <c r="A132" s="118"/>
      <c r="B132" s="106"/>
      <c r="C132" s="34"/>
      <c r="D132" s="36"/>
      <c r="E132" s="38"/>
      <c r="F132" s="36"/>
      <c r="G132" s="89" t="s">
        <v>43</v>
      </c>
      <c r="H132" s="36"/>
      <c r="I132" s="38"/>
      <c r="J132" s="36"/>
      <c r="K132" s="38">
        <f>SUM(K131:K131)</f>
        <v>33.281999999999996</v>
      </c>
      <c r="L132" s="78" t="s">
        <v>29</v>
      </c>
    </row>
    <row r="133" spans="1:12" s="63" customFormat="1" x14ac:dyDescent="0.2">
      <c r="A133" s="118"/>
      <c r="B133" s="106"/>
      <c r="C133" s="34"/>
      <c r="D133" s="36"/>
      <c r="E133" s="38">
        <f>K132</f>
        <v>33.281999999999996</v>
      </c>
      <c r="F133" s="36" t="s">
        <v>29</v>
      </c>
      <c r="G133" s="89"/>
      <c r="H133" s="79" t="s">
        <v>4</v>
      </c>
      <c r="I133" s="38"/>
      <c r="J133" s="36"/>
      <c r="K133" s="38">
        <f>E133*4.15</f>
        <v>138.12029999999999</v>
      </c>
      <c r="L133" s="68" t="s">
        <v>24</v>
      </c>
    </row>
    <row r="134" spans="1:12" s="63" customFormat="1" ht="270.75" x14ac:dyDescent="0.2">
      <c r="A134" s="34">
        <f>A130+1</f>
        <v>11</v>
      </c>
      <c r="B134" s="106" t="s">
        <v>0</v>
      </c>
      <c r="C134" s="128"/>
      <c r="D134" s="36"/>
      <c r="E134" s="38"/>
      <c r="F134" s="91"/>
      <c r="G134" s="89"/>
      <c r="H134" s="36"/>
      <c r="I134" s="36"/>
      <c r="J134" s="36"/>
      <c r="K134" s="36"/>
    </row>
    <row r="135" spans="1:12" s="63" customFormat="1" x14ac:dyDescent="0.2">
      <c r="A135" s="118"/>
      <c r="B135" s="125" t="s">
        <v>70</v>
      </c>
      <c r="C135" s="34">
        <f>C89</f>
        <v>9</v>
      </c>
      <c r="D135" s="36" t="s">
        <v>41</v>
      </c>
      <c r="E135" s="128">
        <f>E89</f>
        <v>1.8</v>
      </c>
      <c r="F135" s="36" t="s">
        <v>41</v>
      </c>
      <c r="G135" s="89">
        <v>1.2</v>
      </c>
      <c r="H135" s="36"/>
      <c r="I135" s="38"/>
      <c r="J135" s="79" t="s">
        <v>42</v>
      </c>
      <c r="K135" s="38">
        <f>IF(C135,C135*E135*G135,"")</f>
        <v>19.439999999999998</v>
      </c>
      <c r="L135" s="68" t="s">
        <v>22</v>
      </c>
    </row>
    <row r="136" spans="1:12" s="63" customFormat="1" x14ac:dyDescent="0.2">
      <c r="A136" s="118"/>
      <c r="B136" s="106"/>
      <c r="C136" s="34"/>
      <c r="D136" s="36"/>
      <c r="E136" s="38"/>
      <c r="F136" s="36"/>
      <c r="G136" s="89" t="s">
        <v>43</v>
      </c>
      <c r="H136" s="36"/>
      <c r="I136" s="38"/>
      <c r="J136" s="36"/>
      <c r="K136" s="38">
        <f>SUM(K135:K135)</f>
        <v>19.439999999999998</v>
      </c>
      <c r="L136" s="78" t="s">
        <v>22</v>
      </c>
    </row>
    <row r="137" spans="1:12" s="63" customFormat="1" x14ac:dyDescent="0.2">
      <c r="A137" s="34"/>
      <c r="B137" s="117"/>
      <c r="C137" s="128"/>
      <c r="D137" s="36"/>
      <c r="E137" s="38"/>
      <c r="F137" s="91"/>
      <c r="G137" s="89"/>
      <c r="H137" s="36"/>
      <c r="I137" s="36"/>
      <c r="J137" s="36"/>
      <c r="K137" s="36"/>
    </row>
    <row r="138" spans="1:12" s="63" customFormat="1" ht="28.5" x14ac:dyDescent="0.2">
      <c r="A138" s="34">
        <f>A134+1</f>
        <v>12</v>
      </c>
      <c r="B138" s="106" t="s">
        <v>26</v>
      </c>
      <c r="C138" s="128"/>
      <c r="D138" s="36"/>
      <c r="E138" s="38"/>
      <c r="F138" s="91"/>
      <c r="G138" s="89"/>
      <c r="H138" s="36"/>
      <c r="I138" s="36"/>
      <c r="J138" s="36"/>
      <c r="K138" s="36"/>
    </row>
    <row r="139" spans="1:12" s="63" customFormat="1" x14ac:dyDescent="0.2">
      <c r="A139" s="118"/>
      <c r="B139" s="125" t="s">
        <v>70</v>
      </c>
      <c r="C139" s="34">
        <f>C135</f>
        <v>9</v>
      </c>
      <c r="D139" s="36" t="s">
        <v>41</v>
      </c>
      <c r="E139" s="38">
        <v>1.8</v>
      </c>
      <c r="F139" s="36" t="s">
        <v>41</v>
      </c>
      <c r="G139" s="99">
        <v>10</v>
      </c>
      <c r="H139" s="91" t="s">
        <v>56</v>
      </c>
      <c r="I139" s="38">
        <v>1.1299999999999999</v>
      </c>
      <c r="J139" s="79" t="s">
        <v>42</v>
      </c>
      <c r="K139" s="38">
        <f>C139*E139*G139*I139</f>
        <v>183.05999999999997</v>
      </c>
      <c r="L139" s="68" t="s">
        <v>24</v>
      </c>
    </row>
    <row r="140" spans="1:12" s="63" customFormat="1" ht="15" x14ac:dyDescent="0.2">
      <c r="A140" s="118"/>
      <c r="B140" s="106"/>
      <c r="C140" s="34"/>
      <c r="D140" s="36"/>
      <c r="E140" s="38"/>
      <c r="F140" s="36"/>
      <c r="G140" s="89" t="s">
        <v>43</v>
      </c>
      <c r="H140" s="36"/>
      <c r="I140" s="38"/>
      <c r="J140" s="36"/>
      <c r="K140" s="105">
        <f>SUM(K139:K139)</f>
        <v>183.05999999999997</v>
      </c>
      <c r="L140" s="78" t="s">
        <v>24</v>
      </c>
    </row>
    <row r="141" spans="1:12" s="63" customFormat="1" x14ac:dyDescent="0.2">
      <c r="A141" s="34"/>
      <c r="B141" s="106"/>
      <c r="C141" s="128"/>
      <c r="D141" s="36"/>
      <c r="E141" s="38"/>
      <c r="F141" s="91"/>
      <c r="G141" s="89"/>
      <c r="H141" s="36"/>
      <c r="I141" s="36"/>
      <c r="J141" s="36"/>
      <c r="K141" s="36"/>
    </row>
    <row r="142" spans="1:12" s="63" customFormat="1" ht="71.25" x14ac:dyDescent="0.2">
      <c r="A142" s="34">
        <f>A138+1</f>
        <v>13</v>
      </c>
      <c r="B142" s="106" t="s">
        <v>27</v>
      </c>
      <c r="C142" s="128"/>
      <c r="D142" s="36"/>
      <c r="E142" s="38"/>
      <c r="F142" s="91"/>
      <c r="G142" s="89"/>
      <c r="H142" s="36"/>
      <c r="I142" s="36"/>
      <c r="J142" s="36"/>
      <c r="K142" s="36"/>
    </row>
    <row r="143" spans="1:12" s="63" customFormat="1" ht="15" x14ac:dyDescent="0.2">
      <c r="A143" s="118"/>
      <c r="B143" s="117" t="s">
        <v>77</v>
      </c>
      <c r="C143" s="128">
        <f>K136</f>
        <v>19.439999999999998</v>
      </c>
      <c r="D143" s="126"/>
      <c r="E143" s="126"/>
      <c r="F143" s="36" t="s">
        <v>41</v>
      </c>
      <c r="G143" s="269">
        <v>0.1</v>
      </c>
      <c r="H143" s="269"/>
      <c r="I143" s="105"/>
      <c r="J143" s="114"/>
      <c r="K143" s="105">
        <f>C143*G143</f>
        <v>1.944</v>
      </c>
      <c r="L143" s="68" t="s">
        <v>22</v>
      </c>
    </row>
    <row r="144" spans="1:12" s="63" customFormat="1" ht="99.75" x14ac:dyDescent="0.2">
      <c r="A144" s="34">
        <v>14</v>
      </c>
      <c r="B144" s="35" t="s">
        <v>89</v>
      </c>
      <c r="C144" s="128"/>
      <c r="D144" s="36"/>
      <c r="E144" s="38"/>
      <c r="F144" s="91"/>
      <c r="G144" s="89"/>
      <c r="H144" s="36"/>
      <c r="I144" s="36"/>
      <c r="J144" s="36"/>
      <c r="K144" s="36"/>
    </row>
    <row r="145" spans="1:12" s="63" customFormat="1" x14ac:dyDescent="0.2">
      <c r="A145" s="34"/>
      <c r="B145" s="35"/>
      <c r="C145" s="128">
        <v>1</v>
      </c>
      <c r="D145" s="36" t="s">
        <v>41</v>
      </c>
      <c r="E145" s="38">
        <f>E9</f>
        <v>6</v>
      </c>
      <c r="F145" s="91" t="s">
        <v>41</v>
      </c>
      <c r="G145" s="89">
        <f>G120</f>
        <v>15</v>
      </c>
      <c r="H145" s="36"/>
      <c r="I145" s="36"/>
      <c r="J145" s="36" t="s">
        <v>42</v>
      </c>
      <c r="K145" s="38">
        <f>C145*E145*G145</f>
        <v>90</v>
      </c>
      <c r="L145" s="63" t="s">
        <v>22</v>
      </c>
    </row>
    <row r="146" spans="1:12" s="63" customFormat="1" ht="15" x14ac:dyDescent="0.2">
      <c r="A146" s="118"/>
      <c r="B146" s="106"/>
      <c r="C146" s="34"/>
      <c r="D146" s="36"/>
      <c r="E146" s="38"/>
      <c r="F146" s="36"/>
      <c r="G146" s="89" t="s">
        <v>43</v>
      </c>
      <c r="H146" s="36"/>
      <c r="I146" s="38"/>
      <c r="J146" s="36"/>
      <c r="K146" s="105">
        <f>SUM(K145)</f>
        <v>90</v>
      </c>
      <c r="L146" s="68" t="s">
        <v>22</v>
      </c>
    </row>
    <row r="147" spans="1:12" s="63" customFormat="1" x14ac:dyDescent="0.2">
      <c r="A147" s="34"/>
      <c r="B147" s="106"/>
      <c r="C147" s="128"/>
      <c r="D147" s="36"/>
      <c r="E147" s="38"/>
      <c r="F147" s="91"/>
      <c r="G147" s="89"/>
      <c r="H147" s="36"/>
      <c r="I147" s="36"/>
      <c r="J147" s="36"/>
      <c r="K147" s="36"/>
    </row>
    <row r="148" spans="1:12" s="63" customFormat="1" ht="28.5" x14ac:dyDescent="0.2">
      <c r="A148" s="34">
        <v>15</v>
      </c>
      <c r="B148" s="117" t="str">
        <f>GF1_ABS!B31</f>
        <v>Random rubble dry stone Kharanja under floor.</v>
      </c>
      <c r="C148" s="34"/>
      <c r="D148" s="122"/>
      <c r="E148" s="38"/>
      <c r="F148" s="36"/>
      <c r="G148" s="89"/>
      <c r="H148" s="36"/>
      <c r="I148" s="36"/>
      <c r="J148" s="36"/>
      <c r="K148" s="36"/>
    </row>
    <row r="149" spans="1:12" s="63" customFormat="1" ht="15" x14ac:dyDescent="0.2">
      <c r="A149" s="34"/>
      <c r="B149" s="93"/>
      <c r="C149" s="34">
        <v>1</v>
      </c>
      <c r="D149" s="36" t="s">
        <v>41</v>
      </c>
      <c r="E149" s="97">
        <f>E9-1</f>
        <v>5</v>
      </c>
      <c r="F149" s="38" t="s">
        <v>41</v>
      </c>
      <c r="G149" s="97">
        <f>E10-1</f>
        <v>14</v>
      </c>
      <c r="H149" s="88" t="s">
        <v>41</v>
      </c>
      <c r="I149" s="89">
        <v>0.25</v>
      </c>
      <c r="J149" s="90" t="s">
        <v>42</v>
      </c>
      <c r="K149" s="89">
        <f>IF(C149,C149*E149*G149*I149,"")</f>
        <v>17.5</v>
      </c>
      <c r="L149" s="91" t="s">
        <v>20</v>
      </c>
    </row>
    <row r="150" spans="1:12" s="63" customFormat="1" ht="15" x14ac:dyDescent="0.2">
      <c r="A150" s="118"/>
      <c r="B150" s="106"/>
      <c r="C150" s="34"/>
      <c r="D150" s="36"/>
      <c r="E150" s="105"/>
      <c r="F150" s="114"/>
      <c r="G150" s="115" t="s">
        <v>98</v>
      </c>
      <c r="H150" s="114"/>
      <c r="I150" s="105"/>
      <c r="J150" s="114"/>
      <c r="K150" s="105">
        <f>SUM(K149:K149)</f>
        <v>17.5</v>
      </c>
      <c r="L150" s="92" t="s">
        <v>20</v>
      </c>
    </row>
    <row r="151" spans="1:12" s="63" customFormat="1" ht="171" x14ac:dyDescent="0.2">
      <c r="A151" s="127">
        <v>16</v>
      </c>
      <c r="B151" s="106" t="s">
        <v>7</v>
      </c>
      <c r="C151" s="128"/>
      <c r="D151" s="36"/>
      <c r="E151" s="38"/>
      <c r="F151" s="91"/>
      <c r="G151" s="89"/>
      <c r="H151" s="36"/>
      <c r="I151" s="36"/>
      <c r="J151" s="36"/>
      <c r="K151" s="36"/>
    </row>
    <row r="152" spans="1:12" s="63" customFormat="1" x14ac:dyDescent="0.2">
      <c r="A152" s="118"/>
      <c r="B152" s="106" t="s">
        <v>69</v>
      </c>
      <c r="C152" s="34">
        <f>C131</f>
        <v>4</v>
      </c>
      <c r="D152" s="91" t="s">
        <v>41</v>
      </c>
      <c r="E152" s="38">
        <f>E88</f>
        <v>1.5</v>
      </c>
      <c r="F152" s="91" t="s">
        <v>41</v>
      </c>
      <c r="G152" s="89">
        <v>2.1</v>
      </c>
      <c r="H152" s="36"/>
      <c r="I152" s="38"/>
      <c r="J152" s="79" t="s">
        <v>42</v>
      </c>
      <c r="K152" s="38">
        <f>IF(C152,C152*E152*G152,"")</f>
        <v>12.600000000000001</v>
      </c>
      <c r="L152" s="80" t="s">
        <v>22</v>
      </c>
    </row>
    <row r="153" spans="1:12" s="63" customFormat="1" ht="15" x14ac:dyDescent="0.2">
      <c r="A153" s="118"/>
      <c r="B153" s="106"/>
      <c r="C153" s="34"/>
      <c r="D153" s="36"/>
      <c r="E153" s="38"/>
      <c r="F153" s="36"/>
      <c r="G153" s="89" t="s">
        <v>43</v>
      </c>
      <c r="H153" s="36"/>
      <c r="I153" s="38"/>
      <c r="J153" s="36"/>
      <c r="K153" s="105">
        <f>SUM(K152:K152)</f>
        <v>12.600000000000001</v>
      </c>
      <c r="L153" s="78" t="s">
        <v>22</v>
      </c>
    </row>
    <row r="154" spans="1:12" s="63" customFormat="1" x14ac:dyDescent="0.2">
      <c r="A154" s="34"/>
      <c r="B154" s="35"/>
      <c r="C154" s="128"/>
      <c r="D154" s="36"/>
      <c r="E154" s="38"/>
      <c r="F154" s="91"/>
      <c r="G154" s="89" t="str">
        <f>IF(C154,ROUNDUP(C154*E154,0),"")</f>
        <v/>
      </c>
      <c r="H154" s="36"/>
      <c r="I154" s="36"/>
      <c r="J154" s="36"/>
      <c r="K154" s="36"/>
    </row>
    <row r="155" spans="1:12" s="43" customFormat="1" ht="105" x14ac:dyDescent="0.2">
      <c r="A155" s="113">
        <f>LOOKUP(2,1/(A$1:A154&lt;&gt;""),A$1:A154)+1</f>
        <v>17</v>
      </c>
      <c r="B155" s="266" t="s">
        <v>124</v>
      </c>
      <c r="C155" s="128"/>
      <c r="D155" s="36"/>
      <c r="E155" s="38"/>
      <c r="F155" s="91"/>
      <c r="G155" s="89"/>
      <c r="H155" s="36"/>
      <c r="I155" s="36"/>
      <c r="J155" s="36"/>
      <c r="K155" s="36"/>
      <c r="L155" s="63"/>
    </row>
    <row r="156" spans="1:12" s="63" customFormat="1" x14ac:dyDescent="0.2">
      <c r="A156" s="118"/>
      <c r="B156" s="106" t="s">
        <v>140</v>
      </c>
      <c r="C156" s="34">
        <v>4</v>
      </c>
      <c r="D156" s="91" t="s">
        <v>54</v>
      </c>
      <c r="E156" s="38">
        <v>1.75</v>
      </c>
      <c r="F156" s="91" t="s">
        <v>46</v>
      </c>
      <c r="G156" s="89">
        <v>1.2</v>
      </c>
      <c r="H156" s="91" t="s">
        <v>46</v>
      </c>
      <c r="I156" s="38">
        <v>1.75</v>
      </c>
      <c r="J156" s="91" t="s">
        <v>55</v>
      </c>
      <c r="K156" s="38">
        <f>IF(C156,C156*E156*G156*I156,"")</f>
        <v>14.700000000000001</v>
      </c>
      <c r="L156" s="68" t="s">
        <v>29</v>
      </c>
    </row>
    <row r="157" spans="1:12" s="63" customFormat="1" x14ac:dyDescent="0.2">
      <c r="A157" s="118"/>
      <c r="B157" s="106"/>
      <c r="C157" s="34"/>
      <c r="D157" s="36"/>
      <c r="E157" s="38"/>
      <c r="F157" s="36"/>
      <c r="G157" s="89" t="s">
        <v>43</v>
      </c>
      <c r="H157" s="36"/>
      <c r="I157" s="38"/>
      <c r="J157" s="36"/>
      <c r="K157" s="38">
        <f>SUM(K156:K156)</f>
        <v>14.700000000000001</v>
      </c>
      <c r="L157" s="78" t="s">
        <v>29</v>
      </c>
    </row>
    <row r="158" spans="1:12" s="63" customFormat="1" x14ac:dyDescent="0.2">
      <c r="A158" s="118"/>
      <c r="B158" s="106"/>
      <c r="C158" s="34"/>
      <c r="D158" s="36"/>
      <c r="E158" s="38">
        <f>K157</f>
        <v>14.700000000000001</v>
      </c>
      <c r="F158" s="36" t="s">
        <v>29</v>
      </c>
      <c r="G158" s="89"/>
      <c r="H158" s="79" t="s">
        <v>151</v>
      </c>
      <c r="I158" s="38"/>
      <c r="J158" s="36"/>
      <c r="K158" s="38">
        <f>E158*12</f>
        <v>176.4</v>
      </c>
      <c r="L158" s="68" t="s">
        <v>24</v>
      </c>
    </row>
    <row r="159" spans="1:12" s="43" customFormat="1" ht="409.5" x14ac:dyDescent="0.2">
      <c r="A159" s="113">
        <f>LOOKUP(2,1/(A$1:A158&lt;&gt;""),A$1:A158)+1</f>
        <v>18</v>
      </c>
      <c r="B159" s="266" t="s">
        <v>123</v>
      </c>
      <c r="C159" s="128"/>
      <c r="D159" s="36"/>
      <c r="E159" s="38"/>
      <c r="F159" s="91"/>
      <c r="G159" s="89"/>
      <c r="H159" s="36"/>
      <c r="I159" s="36"/>
      <c r="J159" s="36"/>
      <c r="K159" s="36"/>
      <c r="L159" s="63"/>
    </row>
    <row r="160" spans="1:12" s="63" customFormat="1" x14ac:dyDescent="0.2">
      <c r="A160" s="34"/>
      <c r="B160" s="35"/>
      <c r="C160" s="128">
        <v>2</v>
      </c>
      <c r="D160" s="36" t="s">
        <v>41</v>
      </c>
      <c r="E160" s="38">
        <v>0.9</v>
      </c>
      <c r="F160" s="91" t="s">
        <v>41</v>
      </c>
      <c r="G160" s="89">
        <f>G135</f>
        <v>1.2</v>
      </c>
      <c r="H160" s="36"/>
      <c r="I160" s="36"/>
      <c r="J160" s="36" t="s">
        <v>42</v>
      </c>
      <c r="K160" s="38">
        <f>C160*E160*G160</f>
        <v>2.16</v>
      </c>
      <c r="L160" s="63" t="s">
        <v>22</v>
      </c>
    </row>
    <row r="161" spans="1:12" s="63" customFormat="1" ht="15" x14ac:dyDescent="0.2">
      <c r="A161" s="118"/>
      <c r="B161" s="106"/>
      <c r="C161" s="34"/>
      <c r="D161" s="36"/>
      <c r="E161" s="38"/>
      <c r="F161" s="36"/>
      <c r="G161" s="89" t="s">
        <v>43</v>
      </c>
      <c r="H161" s="36"/>
      <c r="I161" s="38"/>
      <c r="J161" s="36"/>
      <c r="K161" s="105">
        <f>SUM(K160)</f>
        <v>2.16</v>
      </c>
      <c r="L161" s="68" t="s">
        <v>22</v>
      </c>
    </row>
    <row r="162" spans="1:12" s="43" customFormat="1" ht="150" x14ac:dyDescent="0.2">
      <c r="A162" s="113">
        <f>LOOKUP(2,1/(A$1:A161&lt;&gt;""),A$1:A161)+1</f>
        <v>19</v>
      </c>
      <c r="B162" s="266" t="s">
        <v>118</v>
      </c>
      <c r="C162" s="128"/>
      <c r="D162" s="36"/>
      <c r="E162" s="38"/>
      <c r="F162" s="91"/>
      <c r="G162" s="89"/>
      <c r="H162" s="36"/>
      <c r="I162" s="36"/>
      <c r="J162" s="36"/>
      <c r="K162" s="36"/>
      <c r="L162" s="63"/>
    </row>
    <row r="163" spans="1:12" s="63" customFormat="1" x14ac:dyDescent="0.2">
      <c r="A163" s="34"/>
      <c r="B163" s="35" t="s">
        <v>152</v>
      </c>
      <c r="C163" s="128">
        <v>1</v>
      </c>
      <c r="D163" s="36" t="s">
        <v>41</v>
      </c>
      <c r="E163" s="38">
        <f>7</f>
        <v>7</v>
      </c>
      <c r="F163" s="91" t="s">
        <v>41</v>
      </c>
      <c r="G163" s="89">
        <v>2.1</v>
      </c>
      <c r="H163" s="36"/>
      <c r="I163" s="36"/>
      <c r="J163" s="36" t="s">
        <v>42</v>
      </c>
      <c r="K163" s="38">
        <f>C163*E163*G163</f>
        <v>14.700000000000001</v>
      </c>
      <c r="L163" s="63" t="s">
        <v>22</v>
      </c>
    </row>
    <row r="164" spans="1:12" s="63" customFormat="1" x14ac:dyDescent="0.2">
      <c r="A164" s="34"/>
      <c r="B164" s="35"/>
      <c r="C164" s="128">
        <v>1</v>
      </c>
      <c r="D164" s="36" t="s">
        <v>41</v>
      </c>
      <c r="E164" s="38">
        <v>6</v>
      </c>
      <c r="F164" s="91" t="s">
        <v>41</v>
      </c>
      <c r="G164" s="89">
        <v>2.1</v>
      </c>
      <c r="H164" s="36"/>
      <c r="I164" s="36"/>
      <c r="J164" s="36" t="s">
        <v>42</v>
      </c>
      <c r="K164" s="38">
        <f>C164*E164*G164</f>
        <v>12.600000000000001</v>
      </c>
      <c r="L164" s="63" t="s">
        <v>22</v>
      </c>
    </row>
    <row r="165" spans="1:12" s="63" customFormat="1" ht="15" x14ac:dyDescent="0.2">
      <c r="A165" s="118"/>
      <c r="B165" s="106"/>
      <c r="C165" s="34"/>
      <c r="D165" s="36"/>
      <c r="E165" s="38"/>
      <c r="F165" s="36"/>
      <c r="G165" s="89" t="s">
        <v>43</v>
      </c>
      <c r="H165" s="36"/>
      <c r="I165" s="38"/>
      <c r="J165" s="36"/>
      <c r="K165" s="105">
        <f>SUM(K163:K164)</f>
        <v>27.300000000000004</v>
      </c>
      <c r="L165" s="68" t="s">
        <v>22</v>
      </c>
    </row>
    <row r="166" spans="1:12" s="63" customFormat="1" ht="42.75" x14ac:dyDescent="0.2">
      <c r="A166" s="127">
        <v>17</v>
      </c>
      <c r="B166" s="106" t="s">
        <v>8</v>
      </c>
      <c r="C166" s="128"/>
      <c r="D166" s="36"/>
      <c r="E166" s="38"/>
      <c r="F166" s="91"/>
      <c r="G166" s="89"/>
      <c r="H166" s="36"/>
      <c r="I166" s="36"/>
      <c r="J166" s="36"/>
      <c r="K166" s="36"/>
    </row>
    <row r="167" spans="1:12" s="63" customFormat="1" x14ac:dyDescent="0.2">
      <c r="A167" s="34"/>
      <c r="B167" s="106" t="s">
        <v>57</v>
      </c>
      <c r="C167" s="128"/>
      <c r="D167" s="36"/>
      <c r="E167" s="38"/>
      <c r="F167" s="91"/>
      <c r="G167" s="89"/>
      <c r="H167" s="36"/>
      <c r="I167" s="36"/>
      <c r="J167" s="91" t="s">
        <v>42</v>
      </c>
      <c r="K167" s="38">
        <f>K110</f>
        <v>197.64</v>
      </c>
      <c r="L167" s="63" t="s">
        <v>22</v>
      </c>
    </row>
    <row r="168" spans="1:12" s="63" customFormat="1" x14ac:dyDescent="0.2">
      <c r="A168" s="118"/>
      <c r="B168" s="106"/>
      <c r="C168" s="34"/>
      <c r="D168" s="36"/>
      <c r="E168" s="38"/>
      <c r="F168" s="36"/>
      <c r="G168" s="89" t="s">
        <v>43</v>
      </c>
      <c r="H168" s="36"/>
      <c r="I168" s="38"/>
      <c r="J168" s="36"/>
      <c r="K168" s="38">
        <f>SUM(K167:K167)</f>
        <v>197.64</v>
      </c>
      <c r="L168" s="78" t="s">
        <v>22</v>
      </c>
    </row>
    <row r="169" spans="1:12" s="63" customFormat="1" x14ac:dyDescent="0.2">
      <c r="A169" s="118"/>
      <c r="B169" s="106"/>
      <c r="C169" s="34"/>
      <c r="D169" s="36"/>
      <c r="E169" s="38"/>
      <c r="F169" s="36"/>
      <c r="G169" s="89"/>
      <c r="H169" s="36"/>
      <c r="I169" s="38"/>
      <c r="J169" s="36"/>
      <c r="K169" s="38"/>
      <c r="L169" s="68"/>
    </row>
    <row r="170" spans="1:12" s="63" customFormat="1" ht="57" x14ac:dyDescent="0.2">
      <c r="A170" s="34">
        <f>A166+1</f>
        <v>18</v>
      </c>
      <c r="B170" s="117" t="s">
        <v>68</v>
      </c>
      <c r="C170" s="128"/>
      <c r="D170" s="36"/>
      <c r="E170" s="38"/>
      <c r="F170" s="91"/>
      <c r="G170" s="89"/>
      <c r="H170" s="36"/>
      <c r="I170" s="36"/>
      <c r="J170" s="36"/>
      <c r="K170" s="36"/>
    </row>
    <row r="171" spans="1:12" s="63" customFormat="1" x14ac:dyDescent="0.2">
      <c r="A171" s="34"/>
      <c r="B171" s="117" t="s">
        <v>58</v>
      </c>
      <c r="C171" s="127">
        <v>1</v>
      </c>
      <c r="D171" s="91" t="s">
        <v>41</v>
      </c>
      <c r="E171" s="123">
        <f>K114</f>
        <v>182.7</v>
      </c>
      <c r="F171" s="270"/>
      <c r="G171" s="89"/>
      <c r="H171" s="36"/>
      <c r="I171" s="36"/>
      <c r="J171" s="91" t="s">
        <v>42</v>
      </c>
      <c r="K171" s="38">
        <f>K114</f>
        <v>182.7</v>
      </c>
      <c r="L171" s="95" t="s">
        <v>22</v>
      </c>
    </row>
    <row r="172" spans="1:12" s="63" customFormat="1" x14ac:dyDescent="0.2">
      <c r="A172" s="118"/>
      <c r="B172" s="106"/>
      <c r="C172" s="34"/>
      <c r="D172" s="36"/>
      <c r="E172" s="38"/>
      <c r="F172" s="36"/>
      <c r="G172" s="89" t="s">
        <v>43</v>
      </c>
      <c r="H172" s="36"/>
      <c r="I172" s="38"/>
      <c r="J172" s="36"/>
      <c r="K172" s="38">
        <f>SUM(K171:K171)</f>
        <v>182.7</v>
      </c>
      <c r="L172" s="68" t="s">
        <v>22</v>
      </c>
    </row>
    <row r="173" spans="1:12" s="63" customFormat="1" x14ac:dyDescent="0.2">
      <c r="A173" s="34"/>
      <c r="B173" s="117" t="s">
        <v>28</v>
      </c>
      <c r="C173" s="128"/>
      <c r="D173" s="36"/>
      <c r="E173" s="38"/>
      <c r="F173" s="91"/>
      <c r="G173" s="89"/>
      <c r="H173" s="36"/>
      <c r="I173" s="36"/>
      <c r="J173" s="36"/>
      <c r="K173" s="36"/>
    </row>
    <row r="174" spans="1:12" s="63" customFormat="1" ht="57" x14ac:dyDescent="0.2">
      <c r="A174" s="34">
        <f>A170+1</f>
        <v>19</v>
      </c>
      <c r="B174" s="106" t="s">
        <v>65</v>
      </c>
      <c r="C174" s="128"/>
      <c r="D174" s="36"/>
      <c r="E174" s="38"/>
      <c r="F174" s="91"/>
      <c r="G174" s="89"/>
      <c r="H174" s="36"/>
      <c r="I174" s="36"/>
      <c r="J174" s="36"/>
      <c r="K174" s="36"/>
    </row>
    <row r="175" spans="1:12" s="63" customFormat="1" x14ac:dyDescent="0.2">
      <c r="A175" s="118"/>
      <c r="B175" s="117" t="s">
        <v>60</v>
      </c>
      <c r="C175" s="104">
        <f>K153</f>
        <v>12.600000000000001</v>
      </c>
      <c r="D175" s="126"/>
      <c r="E175" s="123"/>
      <c r="F175" s="36" t="s">
        <v>22</v>
      </c>
      <c r="G175" s="89"/>
      <c r="H175" s="91" t="s">
        <v>59</v>
      </c>
      <c r="I175" s="104">
        <v>2.25</v>
      </c>
      <c r="J175" s="79" t="s">
        <v>42</v>
      </c>
      <c r="K175" s="38">
        <f>C175*I175</f>
        <v>28.35</v>
      </c>
      <c r="L175" s="91" t="s">
        <v>22</v>
      </c>
    </row>
    <row r="176" spans="1:12" s="63" customFormat="1" x14ac:dyDescent="0.2">
      <c r="A176" s="118"/>
      <c r="B176" s="117" t="s">
        <v>61</v>
      </c>
      <c r="C176" s="104">
        <f>K136</f>
        <v>19.439999999999998</v>
      </c>
      <c r="D176" s="126"/>
      <c r="E176" s="123"/>
      <c r="F176" s="36" t="s">
        <v>22</v>
      </c>
      <c r="G176" s="89"/>
      <c r="H176" s="91" t="s">
        <v>59</v>
      </c>
      <c r="I176" s="104">
        <v>2.6</v>
      </c>
      <c r="J176" s="79" t="s">
        <v>42</v>
      </c>
      <c r="K176" s="38">
        <f>C176*I176</f>
        <v>50.543999999999997</v>
      </c>
      <c r="L176" s="91" t="s">
        <v>22</v>
      </c>
    </row>
    <row r="177" spans="1:12" s="63" customFormat="1" ht="15" x14ac:dyDescent="0.2">
      <c r="A177" s="118"/>
      <c r="B177" s="117"/>
      <c r="C177" s="118"/>
      <c r="D177" s="36"/>
      <c r="E177" s="38"/>
      <c r="F177" s="36"/>
      <c r="G177" s="36"/>
      <c r="H177" s="36"/>
      <c r="I177" s="89" t="s">
        <v>43</v>
      </c>
      <c r="J177" s="79" t="s">
        <v>42</v>
      </c>
      <c r="K177" s="105">
        <f>SUM(K175:K176)</f>
        <v>78.894000000000005</v>
      </c>
      <c r="L177" s="96" t="s">
        <v>22</v>
      </c>
    </row>
    <row r="178" spans="1:12" s="63" customFormat="1" x14ac:dyDescent="0.2">
      <c r="A178" s="34"/>
      <c r="B178" s="106"/>
      <c r="C178" s="128"/>
      <c r="D178" s="36"/>
      <c r="E178" s="38"/>
      <c r="F178" s="91"/>
      <c r="G178" s="89"/>
      <c r="H178" s="36"/>
      <c r="I178" s="36"/>
      <c r="J178" s="36"/>
      <c r="K178" s="36"/>
    </row>
    <row r="179" spans="1:12" s="63" customFormat="1" ht="42.75" x14ac:dyDescent="0.2">
      <c r="A179" s="34">
        <f>A174+1</f>
        <v>20</v>
      </c>
      <c r="B179" s="117" t="s">
        <v>30</v>
      </c>
      <c r="C179" s="128"/>
      <c r="D179" s="36"/>
      <c r="E179" s="38"/>
      <c r="F179" s="91"/>
      <c r="G179" s="89"/>
      <c r="H179" s="36"/>
      <c r="I179" s="36"/>
      <c r="J179" s="36"/>
      <c r="K179" s="36"/>
    </row>
    <row r="180" spans="1:12" s="63" customFormat="1" ht="15" x14ac:dyDescent="0.2">
      <c r="A180" s="34"/>
      <c r="B180" s="106" t="s">
        <v>62</v>
      </c>
      <c r="C180" s="128"/>
      <c r="D180" s="36"/>
      <c r="E180" s="38"/>
      <c r="F180" s="91"/>
      <c r="G180" s="89"/>
      <c r="H180" s="36"/>
      <c r="I180" s="36"/>
      <c r="J180" s="36"/>
      <c r="K180" s="105">
        <f>K177</f>
        <v>78.894000000000005</v>
      </c>
      <c r="L180" s="91" t="s">
        <v>22</v>
      </c>
    </row>
    <row r="181" spans="1:12" s="63" customFormat="1" ht="15" x14ac:dyDescent="0.2">
      <c r="A181" s="34"/>
      <c r="B181" s="106"/>
      <c r="C181" s="128"/>
      <c r="D181" s="36"/>
      <c r="E181" s="38"/>
      <c r="F181" s="91"/>
      <c r="G181" s="89"/>
      <c r="H181" s="36"/>
      <c r="I181" s="36"/>
      <c r="J181" s="36"/>
      <c r="K181" s="105"/>
      <c r="L181" s="91"/>
    </row>
    <row r="182" spans="1:12" s="63" customFormat="1" x14ac:dyDescent="0.2">
      <c r="A182" s="118"/>
      <c r="B182" s="106"/>
      <c r="C182" s="34"/>
      <c r="D182" s="91"/>
      <c r="E182" s="38"/>
      <c r="F182" s="91"/>
      <c r="G182" s="89"/>
      <c r="H182" s="36"/>
      <c r="I182" s="38"/>
      <c r="J182" s="79"/>
      <c r="K182" s="38"/>
      <c r="L182" s="80"/>
    </row>
    <row r="183" spans="1:12" s="63" customFormat="1" ht="15" x14ac:dyDescent="0.2">
      <c r="A183" s="118"/>
      <c r="B183" s="106"/>
      <c r="C183" s="271" t="s">
        <v>1</v>
      </c>
      <c r="D183" s="271"/>
      <c r="E183" s="271"/>
      <c r="F183" s="271"/>
      <c r="G183" s="271"/>
      <c r="H183" s="271"/>
      <c r="I183" s="271"/>
      <c r="J183" s="271"/>
      <c r="K183" s="271"/>
      <c r="L183" s="80"/>
    </row>
    <row r="184" spans="1:12" ht="15" x14ac:dyDescent="0.2">
      <c r="A184" s="34"/>
      <c r="B184" s="140" t="str">
        <f>GF1_ABS!D41</f>
        <v>RKS TECHNO-LEGAL CONSULTANTS, UDAIPUR</v>
      </c>
      <c r="C184" s="140"/>
      <c r="D184" s="140"/>
      <c r="E184" s="140"/>
      <c r="F184" s="140"/>
      <c r="G184" s="140"/>
      <c r="H184" s="140"/>
      <c r="I184" s="140"/>
      <c r="J184" s="140"/>
      <c r="K184" s="140"/>
    </row>
    <row r="185" spans="1:12" x14ac:dyDescent="0.2">
      <c r="A185" s="34"/>
    </row>
  </sheetData>
  <mergeCells count="8">
    <mergeCell ref="A1:L2"/>
    <mergeCell ref="C80:D80"/>
    <mergeCell ref="B184:K184"/>
    <mergeCell ref="C183:K183"/>
    <mergeCell ref="G143:H143"/>
    <mergeCell ref="A3:L3"/>
    <mergeCell ref="A4:L4"/>
    <mergeCell ref="C81:D81"/>
  </mergeCells>
  <phoneticPr fontId="0" type="noConversion"/>
  <dataValidations count="3">
    <dataValidation type="decimal" allowBlank="1" showInputMessage="1" showErrorMessage="1" errorTitle="Invalid Entry" error="Only Numeric Values are allowed." sqref="A39 A49 A44 A23 A34 A28 A78 A75 A60:A61 A93 A96 A119 A123 A127 A155 A159 A162">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96">
      <formula1>0</formula1>
      <formula2>999999999999999</formula2>
    </dataValidation>
    <dataValidation type="decimal" allowBlank="1" showInputMessage="1" showErrorMessage="1" errorTitle="Invalid Entry" error="Only Numeric Values are allowed. " promptTitle="Quantity" prompt="Please enter the Quantity for this item. " sqref="C96">
      <formula1>0</formula1>
      <formula2>999999999999999</formula2>
    </dataValidation>
  </dataValidations>
  <printOptions horizontalCentered="1"/>
  <pageMargins left="0.75" right="0.75" top="0.76" bottom="1" header="0.5" footer="0.5"/>
  <pageSetup paperSize="9" scale="90" fitToHeight="11" orientation="portrait" horizontalDpi="180" verticalDpi="180" r:id="rId1"/>
  <headerFooter alignWithMargins="0">
    <oddFooter>&amp;Cmeasurements&amp;R&amp;P</oddFooter>
  </headerFooter>
  <rowBreaks count="2" manualBreakCount="2">
    <brk id="129" max="17" man="1"/>
    <brk id="136"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3"/>
  <sheetViews>
    <sheetView topLeftCell="A17" zoomScale="75" zoomScaleNormal="100" workbookViewId="0">
      <selection activeCell="C21" sqref="C21"/>
    </sheetView>
    <sheetView workbookViewId="1"/>
  </sheetViews>
  <sheetFormatPr defaultRowHeight="15" x14ac:dyDescent="0.2"/>
  <cols>
    <col min="1" max="1" width="8.77734375" style="149" customWidth="1"/>
    <col min="2" max="2" width="35" style="148" customWidth="1"/>
    <col min="3" max="3" width="7.6640625" style="147" bestFit="1" customWidth="1"/>
    <col min="4" max="4" width="6.109375" style="146" customWidth="1"/>
    <col min="5" max="5" width="8.5546875" style="147" customWidth="1"/>
    <col min="6" max="6" width="6.33203125" style="146" bestFit="1" customWidth="1"/>
    <col min="7" max="7" width="10.44140625" style="146" bestFit="1" customWidth="1"/>
    <col min="8" max="8" width="9.77734375" style="145" bestFit="1" customWidth="1"/>
    <col min="9" max="16384" width="8.88671875" style="145"/>
  </cols>
  <sheetData>
    <row r="1" spans="1:7" x14ac:dyDescent="0.2">
      <c r="A1" s="175" t="str">
        <f>'[1]gen-abstract'!A2</f>
        <v>NAME OF WORK :- Construction of Block Level Library Building at Vakhatpura, PS- Arthuna</v>
      </c>
      <c r="B1" s="175"/>
      <c r="C1" s="175"/>
      <c r="D1" s="175"/>
      <c r="E1" s="175"/>
      <c r="F1" s="175"/>
      <c r="G1" s="175"/>
    </row>
    <row r="2" spans="1:7" x14ac:dyDescent="0.2">
      <c r="A2" s="175"/>
      <c r="B2" s="175"/>
      <c r="C2" s="175"/>
      <c r="D2" s="175"/>
      <c r="E2" s="175"/>
      <c r="F2" s="175"/>
      <c r="G2" s="175"/>
    </row>
    <row r="3" spans="1:7" x14ac:dyDescent="0.2">
      <c r="A3" s="174" t="s">
        <v>106</v>
      </c>
      <c r="B3" s="174"/>
      <c r="C3" s="174"/>
      <c r="D3" s="174"/>
      <c r="E3" s="174"/>
      <c r="F3" s="174"/>
      <c r="G3" s="174"/>
    </row>
    <row r="4" spans="1:7" ht="15.75" x14ac:dyDescent="0.25">
      <c r="A4" s="173" t="s">
        <v>13</v>
      </c>
      <c r="B4" s="173"/>
      <c r="C4" s="173"/>
      <c r="D4" s="173"/>
      <c r="E4" s="173"/>
      <c r="F4" s="173"/>
      <c r="G4" s="173"/>
    </row>
    <row r="5" spans="1:7" x14ac:dyDescent="0.2">
      <c r="A5" s="170" t="s">
        <v>14</v>
      </c>
      <c r="B5" s="172" t="s">
        <v>15</v>
      </c>
      <c r="C5" s="171" t="s">
        <v>16</v>
      </c>
      <c r="D5" s="170"/>
      <c r="E5" s="171" t="s">
        <v>17</v>
      </c>
      <c r="F5" s="170" t="s">
        <v>18</v>
      </c>
      <c r="G5" s="169" t="s">
        <v>19</v>
      </c>
    </row>
    <row r="6" spans="1:7" ht="135" x14ac:dyDescent="0.2">
      <c r="A6" s="155">
        <v>1</v>
      </c>
      <c r="B6" s="156" t="s">
        <v>122</v>
      </c>
      <c r="C6" s="167">
        <f>FF_MES!K56</f>
        <v>21.324859999999997</v>
      </c>
      <c r="D6" s="155" t="s">
        <v>20</v>
      </c>
      <c r="E6" s="155">
        <v>5185</v>
      </c>
      <c r="F6" s="155" t="s">
        <v>21</v>
      </c>
      <c r="G6" s="155">
        <f>C6*E6</f>
        <v>110569.39909999998</v>
      </c>
    </row>
    <row r="7" spans="1:7" s="166" customFormat="1" ht="210.75" x14ac:dyDescent="0.25">
      <c r="A7" s="155">
        <f>LOOKUP(2,1/(A$1:A6&lt;&gt;""),A$1:A6)+1</f>
        <v>2</v>
      </c>
      <c r="B7" s="168" t="s">
        <v>159</v>
      </c>
      <c r="C7" s="167">
        <f>FF_MES!K60</f>
        <v>3.8880000000000003</v>
      </c>
      <c r="D7" s="155" t="s">
        <v>20</v>
      </c>
      <c r="E7" s="155">
        <v>5609</v>
      </c>
      <c r="F7" s="155" t="s">
        <v>21</v>
      </c>
      <c r="G7" s="155">
        <f>C7*E7</f>
        <v>21807.792000000001</v>
      </c>
    </row>
    <row r="8" spans="1:7" ht="90" x14ac:dyDescent="0.2">
      <c r="A8" s="155">
        <f>LOOKUP(2,1/(A$1:A7&lt;&gt;""),A$1:A7)+1</f>
        <v>3</v>
      </c>
      <c r="B8" s="156" t="s">
        <v>111</v>
      </c>
      <c r="C8" s="155"/>
      <c r="D8" s="155"/>
      <c r="E8" s="155"/>
      <c r="F8" s="155"/>
      <c r="G8" s="155"/>
    </row>
    <row r="9" spans="1:7" ht="75" x14ac:dyDescent="0.2">
      <c r="A9" s="155"/>
      <c r="B9" s="156" t="s">
        <v>112</v>
      </c>
      <c r="C9" s="154">
        <f>FF_MES!K74</f>
        <v>181.26739999999998</v>
      </c>
      <c r="D9" s="155" t="s">
        <v>22</v>
      </c>
      <c r="E9" s="155">
        <v>340</v>
      </c>
      <c r="F9" s="155" t="s">
        <v>23</v>
      </c>
      <c r="G9" s="154">
        <f>C9*E9</f>
        <v>61630.91599999999</v>
      </c>
    </row>
    <row r="10" spans="1:7" x14ac:dyDescent="0.2">
      <c r="A10" s="155"/>
      <c r="B10" s="156" t="s">
        <v>113</v>
      </c>
      <c r="C10" s="154">
        <f>FF_MES!K78</f>
        <v>9.7200000000000006</v>
      </c>
      <c r="D10" s="155" t="s">
        <v>22</v>
      </c>
      <c r="E10" s="155">
        <v>375</v>
      </c>
      <c r="F10" s="155" t="s">
        <v>23</v>
      </c>
      <c r="G10" s="154">
        <f>C10*E10</f>
        <v>3645.0000000000005</v>
      </c>
    </row>
    <row r="11" spans="1:7" ht="90" x14ac:dyDescent="0.2">
      <c r="A11" s="155">
        <f>LOOKUP(2,1/(A$1:A10&lt;&gt;""),A$1:A10)+1</f>
        <v>4</v>
      </c>
      <c r="B11" s="156" t="s">
        <v>84</v>
      </c>
      <c r="C11" s="165">
        <f>FF_MES!K82</f>
        <v>2618.4859999999999</v>
      </c>
      <c r="D11" s="160" t="s">
        <v>24</v>
      </c>
      <c r="E11" s="155">
        <v>77</v>
      </c>
      <c r="F11" s="160" t="s">
        <v>25</v>
      </c>
      <c r="G11" s="154">
        <f>C11*E11</f>
        <v>201623.42199999999</v>
      </c>
    </row>
    <row r="12" spans="1:7" ht="75" x14ac:dyDescent="0.2">
      <c r="A12" s="155">
        <f>LOOKUP(2,1/(A$1:A11&lt;&gt;""),A$1:A11)+1</f>
        <v>5</v>
      </c>
      <c r="B12" s="156" t="s">
        <v>109</v>
      </c>
      <c r="C12" s="154">
        <f>FF_MES!K93</f>
        <v>30.428999999999998</v>
      </c>
      <c r="D12" s="160" t="s">
        <v>20</v>
      </c>
      <c r="E12" s="155">
        <v>4990</v>
      </c>
      <c r="F12" s="160" t="s">
        <v>21</v>
      </c>
      <c r="G12" s="154">
        <f>C12*E12</f>
        <v>151840.71</v>
      </c>
    </row>
    <row r="13" spans="1:7" s="164" customFormat="1" ht="45" x14ac:dyDescent="0.2">
      <c r="A13" s="155">
        <f>LOOKUP(2,1/(A$1:A12&lt;&gt;""),A$1:A12)+1</f>
        <v>6</v>
      </c>
      <c r="B13" s="158" t="s">
        <v>67</v>
      </c>
      <c r="C13" s="154">
        <f>FF_MES!K112</f>
        <v>332.52000000000004</v>
      </c>
      <c r="D13" s="155" t="s">
        <v>22</v>
      </c>
      <c r="E13" s="154">
        <v>190</v>
      </c>
      <c r="F13" s="157" t="s">
        <v>23</v>
      </c>
      <c r="G13" s="154">
        <f>IF(C13,ROUNDUP(C13*E13,0),"")</f>
        <v>63179</v>
      </c>
    </row>
    <row r="14" spans="1:7" ht="30" x14ac:dyDescent="0.2">
      <c r="A14" s="155">
        <f>LOOKUP(2,1/(A$1:A13&lt;&gt;""),A$1:A13)+1</f>
        <v>7</v>
      </c>
      <c r="B14" s="156" t="s">
        <v>121</v>
      </c>
      <c r="C14" s="154">
        <f>FF_MES!K117</f>
        <v>100.8</v>
      </c>
      <c r="D14" s="155" t="s">
        <v>22</v>
      </c>
      <c r="E14" s="154">
        <v>139</v>
      </c>
      <c r="F14" s="155" t="s">
        <v>23</v>
      </c>
      <c r="G14" s="155">
        <f>IF(C14,ROUNDUP(C14*E14,0),"")</f>
        <v>14012</v>
      </c>
    </row>
    <row r="15" spans="1:7" ht="30" x14ac:dyDescent="0.2">
      <c r="A15" s="155">
        <f>LOOKUP(2,1/(A$1:A14&lt;&gt;""),A$1:A14)+1</f>
        <v>8</v>
      </c>
      <c r="B15" s="156" t="s">
        <v>120</v>
      </c>
      <c r="C15" s="154">
        <f>FF_MES!K121</f>
        <v>174</v>
      </c>
      <c r="D15" s="155" t="s">
        <v>29</v>
      </c>
      <c r="E15" s="154">
        <v>7</v>
      </c>
      <c r="F15" s="155" t="s">
        <v>116</v>
      </c>
      <c r="G15" s="155">
        <f>IF(C15,ROUNDUP(C15*E15,0),"")</f>
        <v>1218</v>
      </c>
    </row>
    <row r="16" spans="1:7" ht="45" x14ac:dyDescent="0.2">
      <c r="A16" s="155">
        <f>LOOKUP(2,1/(A$1:A15&lt;&gt;""),A$1:A15)+1</f>
        <v>9</v>
      </c>
      <c r="B16" s="156" t="s">
        <v>119</v>
      </c>
      <c r="C16" s="154">
        <f>FF_MES!K124</f>
        <v>168.72000000000003</v>
      </c>
      <c r="D16" s="155" t="s">
        <v>22</v>
      </c>
      <c r="E16" s="154">
        <v>84</v>
      </c>
      <c r="F16" s="155" t="s">
        <v>23</v>
      </c>
      <c r="G16" s="155">
        <f>IF(C16,ROUNDUP(C16*E16,0),"")</f>
        <v>14173</v>
      </c>
    </row>
    <row r="17" spans="1:9" ht="210" x14ac:dyDescent="0.2">
      <c r="A17" s="155">
        <f>LOOKUP(2,1/(A$1:A16&lt;&gt;""),A$1:A16)+1</f>
        <v>10</v>
      </c>
      <c r="B17" s="156" t="s">
        <v>107</v>
      </c>
      <c r="C17" s="154">
        <f>FF_MES!K128</f>
        <v>138.12029999999999</v>
      </c>
      <c r="D17" s="160" t="s">
        <v>24</v>
      </c>
      <c r="E17" s="155">
        <v>83</v>
      </c>
      <c r="F17" s="160" t="s">
        <v>25</v>
      </c>
      <c r="G17" s="154">
        <f>C17*E17</f>
        <v>11463.984899999999</v>
      </c>
    </row>
    <row r="18" spans="1:9" s="163" customFormat="1" ht="315" x14ac:dyDescent="0.25">
      <c r="A18" s="155">
        <f>LOOKUP(2,1/(A$1:A17&lt;&gt;""),A$1:A17)+1</f>
        <v>11</v>
      </c>
      <c r="B18" s="156" t="s">
        <v>86</v>
      </c>
      <c r="C18" s="154">
        <f>FF_MES!K131</f>
        <v>19.439999999999998</v>
      </c>
      <c r="D18" s="160" t="s">
        <v>22</v>
      </c>
      <c r="E18" s="155">
        <v>3090</v>
      </c>
      <c r="F18" s="157" t="s">
        <v>23</v>
      </c>
      <c r="G18" s="154">
        <f>C18*E18</f>
        <v>60069.599999999991</v>
      </c>
    </row>
    <row r="19" spans="1:9" s="163" customFormat="1" ht="75" x14ac:dyDescent="0.25">
      <c r="A19" s="155">
        <f>LOOKUP(2,1/(A$1:A18&lt;&gt;""),A$1:A18)+1</f>
        <v>12</v>
      </c>
      <c r="B19" s="156" t="s">
        <v>87</v>
      </c>
      <c r="C19" s="154">
        <f>FF_MES!K138</f>
        <v>1.944</v>
      </c>
      <c r="D19" s="160" t="s">
        <v>22</v>
      </c>
      <c r="E19" s="155">
        <v>617</v>
      </c>
      <c r="F19" s="155" t="s">
        <v>23</v>
      </c>
      <c r="G19" s="154">
        <f>C19*E19</f>
        <v>1199.4479999999999</v>
      </c>
    </row>
    <row r="20" spans="1:9" s="161" customFormat="1" ht="30" x14ac:dyDescent="0.2">
      <c r="A20" s="155">
        <f>LOOKUP(2,1/(A$1:A19&lt;&gt;""),A$1:A19)+1</f>
        <v>13</v>
      </c>
      <c r="B20" s="156" t="s">
        <v>88</v>
      </c>
      <c r="C20" s="154">
        <f>FF_MES!K135</f>
        <v>183.05999999999997</v>
      </c>
      <c r="D20" s="160" t="s">
        <v>24</v>
      </c>
      <c r="E20" s="155">
        <v>65</v>
      </c>
      <c r="F20" s="155" t="s">
        <v>25</v>
      </c>
      <c r="G20" s="154">
        <f>C20*E20</f>
        <v>11898.899999999998</v>
      </c>
      <c r="I20" s="162"/>
    </row>
    <row r="21" spans="1:9" ht="105" x14ac:dyDescent="0.2">
      <c r="A21" s="155">
        <f>LOOKUP(2,1/(A$1:A20&lt;&gt;""),A$1:A20)+1</f>
        <v>14</v>
      </c>
      <c r="B21" s="156" t="s">
        <v>89</v>
      </c>
      <c r="C21" s="154">
        <f>FF_MES!K141</f>
        <v>90</v>
      </c>
      <c r="D21" s="160" t="s">
        <v>22</v>
      </c>
      <c r="E21" s="155">
        <v>1023</v>
      </c>
      <c r="F21" s="155" t="s">
        <v>23</v>
      </c>
      <c r="G21" s="154">
        <f>C21*E21</f>
        <v>92070</v>
      </c>
    </row>
    <row r="22" spans="1:9" ht="45" x14ac:dyDescent="0.2">
      <c r="A22" s="155">
        <f>LOOKUP(2,1/(A$1:A21&lt;&gt;""),A$1:A21)+1</f>
        <v>15</v>
      </c>
      <c r="B22" s="159" t="s">
        <v>8</v>
      </c>
      <c r="C22" s="154">
        <f>FF_MES!K163</f>
        <v>168.72000000000003</v>
      </c>
      <c r="D22" s="155" t="s">
        <v>22</v>
      </c>
      <c r="E22" s="154">
        <v>11</v>
      </c>
      <c r="F22" s="157" t="s">
        <v>23</v>
      </c>
      <c r="G22" s="154">
        <f>C22*E22</f>
        <v>1855.9200000000003</v>
      </c>
    </row>
    <row r="23" spans="1:9" ht="60" x14ac:dyDescent="0.2">
      <c r="A23" s="155">
        <f>LOOKUP(2,1/(A$1:A22&lt;&gt;""),A$1:A22)+1</f>
        <v>16</v>
      </c>
      <c r="B23" s="158" t="s">
        <v>68</v>
      </c>
      <c r="C23" s="154">
        <f>FF_MES!K167</f>
        <v>163.80000000000001</v>
      </c>
      <c r="D23" s="155" t="s">
        <v>22</v>
      </c>
      <c r="E23" s="154">
        <v>14</v>
      </c>
      <c r="F23" s="157" t="s">
        <v>23</v>
      </c>
      <c r="G23" s="154">
        <f>C23*E23</f>
        <v>2293.2000000000003</v>
      </c>
    </row>
    <row r="24" spans="1:9" ht="60" x14ac:dyDescent="0.2">
      <c r="A24" s="155">
        <f>LOOKUP(2,1/(A$1:A23&lt;&gt;""),A$1:A23)+1</f>
        <v>17</v>
      </c>
      <c r="B24" s="156" t="s">
        <v>65</v>
      </c>
      <c r="C24" s="154">
        <f>FF_MES!K172</f>
        <v>78.894000000000005</v>
      </c>
      <c r="D24" s="155" t="s">
        <v>22</v>
      </c>
      <c r="E24" s="154">
        <v>29</v>
      </c>
      <c r="F24" s="157" t="s">
        <v>23</v>
      </c>
      <c r="G24" s="154">
        <f>C24*E24</f>
        <v>2287.9260000000004</v>
      </c>
    </row>
    <row r="25" spans="1:9" ht="45" x14ac:dyDescent="0.2">
      <c r="A25" s="155">
        <f>LOOKUP(2,1/(A$1:A24&lt;&gt;""),A$1:A24)+1</f>
        <v>18</v>
      </c>
      <c r="B25" s="158" t="s">
        <v>30</v>
      </c>
      <c r="C25" s="154">
        <f>FF_MES!K175</f>
        <v>78.894000000000005</v>
      </c>
      <c r="D25" s="155" t="s">
        <v>22</v>
      </c>
      <c r="E25" s="154">
        <v>69</v>
      </c>
      <c r="F25" s="157" t="s">
        <v>23</v>
      </c>
      <c r="G25" s="154">
        <f>C25*E25</f>
        <v>5443.6860000000006</v>
      </c>
    </row>
    <row r="26" spans="1:9" ht="105" x14ac:dyDescent="0.2">
      <c r="A26" s="155">
        <f>LOOKUP(2,1/(A$1:A25&lt;&gt;""),A$1:A25)+1</f>
        <v>19</v>
      </c>
      <c r="B26" s="156" t="s">
        <v>156</v>
      </c>
      <c r="C26" s="154"/>
      <c r="D26" s="155"/>
      <c r="E26" s="154"/>
      <c r="F26" s="155"/>
      <c r="G26" s="154"/>
    </row>
    <row r="27" spans="1:9" ht="30" x14ac:dyDescent="0.2">
      <c r="A27" s="260"/>
      <c r="B27" s="156" t="s">
        <v>157</v>
      </c>
      <c r="C27" s="154">
        <f>FF_MES!K178</f>
        <v>0.63</v>
      </c>
      <c r="D27" s="155" t="s">
        <v>20</v>
      </c>
      <c r="E27" s="154">
        <v>7030</v>
      </c>
      <c r="F27" s="155" t="s">
        <v>21</v>
      </c>
      <c r="G27" s="154">
        <f>C27*E27</f>
        <v>4428.8999999999996</v>
      </c>
    </row>
    <row r="28" spans="1:9" ht="105" x14ac:dyDescent="0.2">
      <c r="A28" s="155">
        <f>LOOKUP(2,1/(A$1:A26&lt;&gt;""),A$1:A26)+1</f>
        <v>20</v>
      </c>
      <c r="B28" s="156" t="s">
        <v>117</v>
      </c>
      <c r="C28" s="154">
        <f>FF_MES!K181</f>
        <v>10.471708</v>
      </c>
      <c r="D28" s="155" t="s">
        <v>20</v>
      </c>
      <c r="E28" s="154">
        <v>4483</v>
      </c>
      <c r="F28" s="155" t="s">
        <v>21</v>
      </c>
      <c r="G28" s="154">
        <f>C28*E28</f>
        <v>46944.666963999996</v>
      </c>
    </row>
    <row r="29" spans="1:9" ht="60" x14ac:dyDescent="0.2">
      <c r="A29" s="155">
        <f>LOOKUP(2,1/(A$1:A28&lt;&gt;""),A$1:A28)+1</f>
        <v>21</v>
      </c>
      <c r="B29" s="156" t="s">
        <v>161</v>
      </c>
      <c r="C29" s="154">
        <f>FF_MES!K186</f>
        <v>40.159999999999997</v>
      </c>
      <c r="D29" s="155" t="s">
        <v>115</v>
      </c>
      <c r="E29" s="154">
        <v>111</v>
      </c>
      <c r="F29" s="155" t="s">
        <v>116</v>
      </c>
      <c r="G29" s="154">
        <f>C29*E29</f>
        <v>4457.7599999999993</v>
      </c>
    </row>
    <row r="30" spans="1:9" x14ac:dyDescent="0.2">
      <c r="C30" s="146"/>
      <c r="E30" s="153" t="s">
        <v>31</v>
      </c>
      <c r="F30" s="153" t="s">
        <v>10</v>
      </c>
      <c r="G30" s="153">
        <f>SUM(G1:G29)</f>
        <v>888113.23096399999</v>
      </c>
    </row>
    <row r="31" spans="1:9" x14ac:dyDescent="0.2">
      <c r="C31" s="146"/>
      <c r="F31" s="147"/>
      <c r="G31" s="147"/>
    </row>
    <row r="32" spans="1:9" ht="15.75" x14ac:dyDescent="0.2">
      <c r="A32" s="152"/>
      <c r="B32" s="151"/>
      <c r="C32" s="146"/>
      <c r="D32" s="150" t="s">
        <v>1</v>
      </c>
      <c r="E32" s="146"/>
      <c r="F32" s="150"/>
      <c r="G32" s="150"/>
    </row>
    <row r="33" spans="1:7" ht="15.75" x14ac:dyDescent="0.2">
      <c r="A33" s="152"/>
      <c r="B33" s="151"/>
      <c r="C33" s="146"/>
      <c r="D33" s="150" t="s">
        <v>103</v>
      </c>
      <c r="E33" s="146"/>
      <c r="F33" s="150"/>
      <c r="G33" s="150"/>
    </row>
  </sheetData>
  <mergeCells count="3">
    <mergeCell ref="A3:G3"/>
    <mergeCell ref="A4:G4"/>
    <mergeCell ref="A1:G2"/>
  </mergeCells>
  <dataValidations count="4">
    <dataValidation type="decimal" allowBlank="1" showInputMessage="1" showErrorMessage="1" errorTitle="Invalid Entry" error="Only Numeric Values are allowed." sqref="A28:A29 A6:A26">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20:E21 E11:E12 E18:E19">
      <formula1>0</formula1>
      <formula2>999999999999999</formula2>
    </dataValidation>
    <dataValidation type="decimal" allowBlank="1" showInputMessage="1" showErrorMessage="1" errorTitle="Invalid Entry" error="Only Numeric Values are allowed. " sqref="C17 E17">
      <formula1>0</formula1>
      <formula2>999999999999999</formula2>
    </dataValidation>
    <dataValidation type="decimal" allowBlank="1" showInputMessage="1" showErrorMessage="1" errorTitle="Invalid Entry" error="Only Numeric Values are allowed. " promptTitle="Quantity" prompt="Please enter the Quantity for this item. " sqref="C18:C19 C20:C21 C11:C13">
      <formula1>0</formula1>
      <formula2>999999999999999</formula2>
    </dataValidation>
  </dataValidations>
  <printOptions horizontalCentered="1"/>
  <pageMargins left="0.75" right="0.75" top="0.76" bottom="1" header="0.5" footer="0.5"/>
  <pageSetup paperSize="9" scale="87" fitToHeight="22" orientation="portrait" horizontalDpi="180" verticalDpi="180" r:id="rId1"/>
  <headerFooter alignWithMargins="0">
    <oddFooter>&amp;C&amp;A&amp;R&amp;P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91"/>
  <sheetViews>
    <sheetView topLeftCell="A145" zoomScaleNormal="75" zoomScaleSheetLayoutView="75" workbookViewId="0">
      <selection activeCell="E146" sqref="E146"/>
    </sheetView>
    <sheetView workbookViewId="1"/>
  </sheetViews>
  <sheetFormatPr defaultRowHeight="14.25" x14ac:dyDescent="0.2"/>
  <cols>
    <col min="1" max="1" width="3.88671875" style="181" bestFit="1" customWidth="1"/>
    <col min="2" max="2" width="33" style="180" customWidth="1"/>
    <col min="3" max="3" width="4.77734375" style="179" bestFit="1" customWidth="1"/>
    <col min="4" max="4" width="1.5546875" style="176" customWidth="1"/>
    <col min="5" max="5" width="6.44140625" style="177" bestFit="1" customWidth="1"/>
    <col min="6" max="6" width="1.88671875" style="176" customWidth="1"/>
    <col min="7" max="7" width="5.88671875" style="178" customWidth="1"/>
    <col min="8" max="8" width="4" style="176" customWidth="1"/>
    <col min="9" max="9" width="3.77734375" style="177" customWidth="1"/>
    <col min="10" max="10" width="3.21875" style="176" bestFit="1" customWidth="1"/>
    <col min="11" max="11" width="7" style="177" customWidth="1"/>
    <col min="12" max="12" width="4.44140625" style="176" bestFit="1" customWidth="1"/>
    <col min="13" max="16384" width="8.88671875" style="176"/>
  </cols>
  <sheetData>
    <row r="1" spans="1:13" s="183" customFormat="1" x14ac:dyDescent="0.2">
      <c r="A1" s="253" t="str">
        <f>'[1]gen-abstract'!A2</f>
        <v>NAME OF WORK :- Construction of Block Level Library Building at Vakhatpura, PS- Arthuna</v>
      </c>
      <c r="B1" s="253"/>
      <c r="C1" s="253"/>
      <c r="D1" s="253"/>
      <c r="E1" s="253"/>
      <c r="F1" s="253"/>
      <c r="G1" s="253"/>
      <c r="H1" s="253"/>
      <c r="I1" s="253"/>
      <c r="J1" s="253"/>
      <c r="K1" s="253"/>
      <c r="L1" s="253"/>
    </row>
    <row r="2" spans="1:13" s="183" customFormat="1" x14ac:dyDescent="0.2">
      <c r="A2" s="253"/>
      <c r="B2" s="253"/>
      <c r="C2" s="253"/>
      <c r="D2" s="253"/>
      <c r="E2" s="253"/>
      <c r="F2" s="253"/>
      <c r="G2" s="253"/>
      <c r="H2" s="253"/>
      <c r="I2" s="253"/>
      <c r="J2" s="253"/>
      <c r="K2" s="253"/>
      <c r="L2" s="253"/>
    </row>
    <row r="3" spans="1:13" s="183" customFormat="1" ht="15" x14ac:dyDescent="0.2">
      <c r="A3" s="184" t="s">
        <v>94</v>
      </c>
      <c r="B3" s="184"/>
      <c r="C3" s="184"/>
      <c r="D3" s="184"/>
      <c r="E3" s="184"/>
      <c r="F3" s="184"/>
      <c r="G3" s="184"/>
      <c r="H3" s="184"/>
      <c r="I3" s="184"/>
      <c r="J3" s="184"/>
      <c r="K3" s="184"/>
      <c r="L3" s="184"/>
    </row>
    <row r="4" spans="1:13" s="183" customFormat="1" x14ac:dyDescent="0.2">
      <c r="A4" s="252" t="s">
        <v>32</v>
      </c>
      <c r="B4" s="252"/>
      <c r="C4" s="252"/>
      <c r="D4" s="252"/>
      <c r="E4" s="252"/>
      <c r="F4" s="252"/>
      <c r="G4" s="252"/>
      <c r="H4" s="252"/>
      <c r="I4" s="252"/>
      <c r="J4" s="252"/>
      <c r="K4" s="252"/>
      <c r="L4" s="252"/>
    </row>
    <row r="5" spans="1:13" s="249" customFormat="1" x14ac:dyDescent="0.2">
      <c r="A5" s="262" t="s">
        <v>33</v>
      </c>
      <c r="B5" s="263" t="s">
        <v>34</v>
      </c>
      <c r="C5" s="262" t="s">
        <v>35</v>
      </c>
      <c r="D5" s="262"/>
      <c r="E5" s="250" t="s">
        <v>36</v>
      </c>
      <c r="F5" s="251"/>
      <c r="G5" s="250" t="s">
        <v>37</v>
      </c>
      <c r="H5" s="250"/>
      <c r="I5" s="250" t="s">
        <v>38</v>
      </c>
      <c r="J5" s="250"/>
      <c r="K5" s="250" t="s">
        <v>39</v>
      </c>
      <c r="L5" s="250" t="s">
        <v>40</v>
      </c>
    </row>
    <row r="6" spans="1:13" s="183" customFormat="1" x14ac:dyDescent="0.2">
      <c r="A6" s="179"/>
      <c r="B6" s="264" t="s">
        <v>66</v>
      </c>
      <c r="C6" s="192"/>
      <c r="D6" s="176"/>
      <c r="E6" s="189"/>
      <c r="G6" s="187"/>
    </row>
    <row r="7" spans="1:13" s="183" customFormat="1" ht="15" x14ac:dyDescent="0.2">
      <c r="A7" s="179"/>
      <c r="B7" s="236" t="s">
        <v>91</v>
      </c>
      <c r="C7" s="192"/>
      <c r="D7" s="176"/>
      <c r="E7" s="189"/>
      <c r="G7" s="187"/>
    </row>
    <row r="8" spans="1:13" s="183" customFormat="1" ht="30" x14ac:dyDescent="0.2">
      <c r="A8" s="179"/>
      <c r="B8" s="236" t="s">
        <v>93</v>
      </c>
      <c r="C8" s="192"/>
      <c r="D8" s="176"/>
      <c r="E8" s="189"/>
      <c r="G8" s="187"/>
    </row>
    <row r="9" spans="1:13" s="183" customFormat="1" ht="15" x14ac:dyDescent="0.2">
      <c r="A9" s="185"/>
      <c r="B9" s="180"/>
      <c r="C9" s="179">
        <v>2</v>
      </c>
      <c r="D9" s="176" t="s">
        <v>41</v>
      </c>
      <c r="E9" s="261">
        <v>6</v>
      </c>
      <c r="G9" s="187"/>
      <c r="I9" s="189"/>
      <c r="J9" s="224" t="s">
        <v>42</v>
      </c>
      <c r="K9" s="189">
        <f>IF(C9,C9*E9,"")</f>
        <v>12</v>
      </c>
      <c r="L9" s="201" t="s">
        <v>29</v>
      </c>
      <c r="M9" s="189"/>
    </row>
    <row r="10" spans="1:13" s="183" customFormat="1" ht="15" x14ac:dyDescent="0.2">
      <c r="A10" s="185"/>
      <c r="B10" s="176"/>
      <c r="C10" s="179">
        <v>2</v>
      </c>
      <c r="D10" s="176" t="s">
        <v>41</v>
      </c>
      <c r="E10" s="261">
        <v>15</v>
      </c>
      <c r="G10" s="187"/>
      <c r="I10" s="189"/>
      <c r="J10" s="224" t="s">
        <v>42</v>
      </c>
      <c r="K10" s="189">
        <f>IF(C10,C10*E10,"")</f>
        <v>30</v>
      </c>
      <c r="L10" s="201" t="s">
        <v>29</v>
      </c>
      <c r="M10" s="189"/>
    </row>
    <row r="11" spans="1:13" s="183" customFormat="1" x14ac:dyDescent="0.2">
      <c r="A11" s="185"/>
      <c r="B11" s="180"/>
      <c r="C11" s="179"/>
      <c r="D11" s="176"/>
      <c r="E11" s="189"/>
      <c r="G11" s="187"/>
      <c r="I11" s="209" t="s">
        <v>64</v>
      </c>
      <c r="J11" s="196" t="s">
        <v>42</v>
      </c>
      <c r="K11" s="209">
        <f>SUM(K9:K10)</f>
        <v>42</v>
      </c>
      <c r="L11" s="208" t="s">
        <v>29</v>
      </c>
    </row>
    <row r="12" spans="1:13" s="183" customFormat="1" x14ac:dyDescent="0.2">
      <c r="A12" s="185"/>
      <c r="B12" s="180"/>
      <c r="C12" s="179"/>
      <c r="D12" s="176"/>
      <c r="E12" s="189"/>
      <c r="G12" s="187"/>
      <c r="I12" s="177"/>
      <c r="J12" s="186"/>
      <c r="K12" s="177"/>
      <c r="L12" s="181"/>
    </row>
    <row r="13" spans="1:13" s="183" customFormat="1" ht="15" x14ac:dyDescent="0.2">
      <c r="A13" s="179"/>
      <c r="B13" s="236" t="s">
        <v>2</v>
      </c>
      <c r="C13" s="192"/>
      <c r="D13" s="176"/>
      <c r="E13" s="189"/>
      <c r="G13" s="187"/>
    </row>
    <row r="14" spans="1:13" s="183" customFormat="1" x14ac:dyDescent="0.2">
      <c r="A14" s="185"/>
      <c r="B14" s="180" t="s">
        <v>92</v>
      </c>
      <c r="C14" s="179">
        <v>1</v>
      </c>
      <c r="D14" s="176" t="s">
        <v>41</v>
      </c>
      <c r="E14" s="189">
        <f>K11</f>
        <v>42</v>
      </c>
      <c r="G14" s="187"/>
      <c r="I14" s="189"/>
      <c r="J14" s="224" t="s">
        <v>42</v>
      </c>
      <c r="K14" s="189">
        <f>IF(C14,C14*E14,"")</f>
        <v>42</v>
      </c>
      <c r="L14" s="201" t="s">
        <v>29</v>
      </c>
    </row>
    <row r="15" spans="1:13" s="183" customFormat="1" x14ac:dyDescent="0.2">
      <c r="A15" s="185"/>
      <c r="B15" s="180"/>
      <c r="C15" s="179"/>
      <c r="D15" s="176"/>
      <c r="E15" s="189"/>
      <c r="G15" s="187"/>
      <c r="I15" s="209" t="s">
        <v>64</v>
      </c>
      <c r="J15" s="196" t="s">
        <v>42</v>
      </c>
      <c r="K15" s="209">
        <f>SUM(K14:K14)</f>
        <v>42</v>
      </c>
      <c r="L15" s="208" t="s">
        <v>29</v>
      </c>
    </row>
    <row r="16" spans="1:13" s="183" customFormat="1" ht="30" x14ac:dyDescent="0.2">
      <c r="A16" s="179"/>
      <c r="B16" s="236" t="s">
        <v>96</v>
      </c>
      <c r="C16" s="192"/>
      <c r="D16" s="176"/>
      <c r="E16" s="189"/>
      <c r="G16" s="187"/>
    </row>
    <row r="17" spans="1:12" s="183" customFormat="1" ht="15" x14ac:dyDescent="0.2">
      <c r="A17" s="185"/>
      <c r="B17" s="180" t="s">
        <v>129</v>
      </c>
      <c r="C17" s="179">
        <v>1</v>
      </c>
      <c r="D17" s="176" t="s">
        <v>41</v>
      </c>
      <c r="E17" s="189">
        <v>2.7</v>
      </c>
      <c r="F17" s="164"/>
      <c r="G17" s="187"/>
      <c r="I17" s="189"/>
      <c r="J17" s="224" t="s">
        <v>42</v>
      </c>
      <c r="K17" s="189">
        <f>IF(C17,C17*E17,"")</f>
        <v>2.7</v>
      </c>
      <c r="L17" s="201" t="s">
        <v>29</v>
      </c>
    </row>
    <row r="18" spans="1:12" s="183" customFormat="1" ht="15" x14ac:dyDescent="0.2">
      <c r="A18" s="185"/>
      <c r="B18" s="180"/>
      <c r="C18" s="179">
        <v>1</v>
      </c>
      <c r="D18" s="176" t="s">
        <v>41</v>
      </c>
      <c r="E18" s="189">
        <v>1.2</v>
      </c>
      <c r="F18" s="164"/>
      <c r="G18" s="187"/>
      <c r="I18" s="189"/>
      <c r="J18" s="224" t="s">
        <v>42</v>
      </c>
      <c r="K18" s="189">
        <f>IF(C18,C18*E18,"")</f>
        <v>1.2</v>
      </c>
      <c r="L18" s="201" t="s">
        <v>29</v>
      </c>
    </row>
    <row r="19" spans="1:12" s="183" customFormat="1" ht="15" x14ac:dyDescent="0.2">
      <c r="A19" s="185"/>
      <c r="B19" s="180" t="s">
        <v>128</v>
      </c>
      <c r="C19" s="179">
        <v>1</v>
      </c>
      <c r="D19" s="176" t="s">
        <v>41</v>
      </c>
      <c r="E19" s="189">
        <v>3.6</v>
      </c>
      <c r="F19" s="164"/>
      <c r="G19" s="187"/>
      <c r="I19" s="189"/>
      <c r="J19" s="224" t="s">
        <v>42</v>
      </c>
      <c r="K19" s="189">
        <f>IF(C19,C19*E19,"")</f>
        <v>3.6</v>
      </c>
      <c r="L19" s="201" t="s">
        <v>29</v>
      </c>
    </row>
    <row r="20" spans="1:12" s="183" customFormat="1" ht="15" x14ac:dyDescent="0.2">
      <c r="A20" s="185"/>
      <c r="B20" s="180"/>
      <c r="C20" s="179">
        <v>2</v>
      </c>
      <c r="D20" s="176" t="s">
        <v>41</v>
      </c>
      <c r="E20" s="189">
        <v>2.1</v>
      </c>
      <c r="F20" s="164"/>
      <c r="G20" s="187"/>
      <c r="I20" s="189"/>
      <c r="J20" s="224" t="s">
        <v>42</v>
      </c>
      <c r="K20" s="189">
        <f>IF(C20,C20*E20,"")</f>
        <v>4.2</v>
      </c>
      <c r="L20" s="201" t="s">
        <v>29</v>
      </c>
    </row>
    <row r="21" spans="1:12" s="183" customFormat="1" x14ac:dyDescent="0.2">
      <c r="A21" s="185"/>
      <c r="B21" s="180"/>
      <c r="C21" s="179"/>
      <c r="D21" s="176"/>
      <c r="E21" s="189"/>
      <c r="G21" s="187"/>
      <c r="I21" s="197" t="s">
        <v>64</v>
      </c>
      <c r="J21" s="196" t="s">
        <v>42</v>
      </c>
      <c r="K21" s="209">
        <f>SUM(K17:K20)</f>
        <v>11.7</v>
      </c>
      <c r="L21" s="208" t="s">
        <v>29</v>
      </c>
    </row>
    <row r="22" spans="1:12" s="183" customFormat="1" ht="15" x14ac:dyDescent="0.2">
      <c r="A22" s="179"/>
      <c r="B22" s="265"/>
      <c r="C22" s="179"/>
      <c r="D22" s="232"/>
      <c r="E22" s="199"/>
      <c r="F22" s="188"/>
      <c r="G22" s="199"/>
      <c r="H22" s="223"/>
      <c r="J22" s="230"/>
      <c r="K22" s="220"/>
      <c r="L22" s="248"/>
    </row>
    <row r="23" spans="1:12" s="183" customFormat="1" ht="114" hidden="1" x14ac:dyDescent="0.2">
      <c r="A23" s="241">
        <v>1</v>
      </c>
      <c r="B23" s="193" t="s">
        <v>79</v>
      </c>
      <c r="C23" s="192"/>
      <c r="D23" s="176"/>
      <c r="E23" s="189"/>
      <c r="G23" s="187"/>
    </row>
    <row r="24" spans="1:12" s="183" customFormat="1" hidden="1" x14ac:dyDescent="0.2">
      <c r="A24" s="185"/>
      <c r="B24" s="180" t="s">
        <v>99</v>
      </c>
      <c r="C24" s="179">
        <v>8</v>
      </c>
      <c r="D24" s="216" t="s">
        <v>41</v>
      </c>
      <c r="E24" s="187">
        <v>2.75</v>
      </c>
      <c r="F24" s="245" t="s">
        <v>41</v>
      </c>
      <c r="G24" s="187">
        <v>2.85</v>
      </c>
      <c r="H24" s="216" t="s">
        <v>41</v>
      </c>
      <c r="I24" s="178">
        <v>1.5</v>
      </c>
      <c r="J24" s="215" t="s">
        <v>42</v>
      </c>
      <c r="K24" s="178">
        <f>IF(C24,C24*E24*G24*I24,"")</f>
        <v>94.050000000000011</v>
      </c>
      <c r="L24" s="190" t="s">
        <v>20</v>
      </c>
    </row>
    <row r="25" spans="1:12" s="183" customFormat="1" hidden="1" x14ac:dyDescent="0.2">
      <c r="A25" s="185"/>
      <c r="B25" s="180" t="s">
        <v>73</v>
      </c>
      <c r="C25" s="179">
        <v>1</v>
      </c>
      <c r="D25" s="216" t="s">
        <v>41</v>
      </c>
      <c r="E25" s="187">
        <f>K11</f>
        <v>42</v>
      </c>
      <c r="F25" s="245" t="s">
        <v>41</v>
      </c>
      <c r="G25" s="187">
        <v>0.9</v>
      </c>
      <c r="H25" s="216" t="s">
        <v>41</v>
      </c>
      <c r="I25" s="178">
        <v>0.9</v>
      </c>
      <c r="J25" s="215" t="s">
        <v>42</v>
      </c>
      <c r="K25" s="178">
        <f>IF(C25,C25*E25*G25*I25,"")</f>
        <v>34.020000000000003</v>
      </c>
      <c r="L25" s="190" t="s">
        <v>20</v>
      </c>
    </row>
    <row r="26" spans="1:12" s="183" customFormat="1" hidden="1" x14ac:dyDescent="0.2">
      <c r="A26" s="185"/>
      <c r="B26" s="180" t="s">
        <v>126</v>
      </c>
      <c r="C26" s="179">
        <v>1</v>
      </c>
      <c r="D26" s="216" t="s">
        <v>41</v>
      </c>
      <c r="E26" s="187">
        <f>K21</f>
        <v>11.7</v>
      </c>
      <c r="F26" s="245" t="s">
        <v>41</v>
      </c>
      <c r="G26" s="187">
        <v>0.9</v>
      </c>
      <c r="H26" s="216" t="s">
        <v>41</v>
      </c>
      <c r="I26" s="178">
        <v>0.75</v>
      </c>
      <c r="J26" s="215" t="s">
        <v>42</v>
      </c>
      <c r="K26" s="178">
        <f>IF(C26,C26*E26*G26*I26,"")</f>
        <v>7.8974999999999991</v>
      </c>
      <c r="L26" s="190" t="s">
        <v>20</v>
      </c>
    </row>
    <row r="27" spans="1:12" s="183" customFormat="1" ht="15" hidden="1" x14ac:dyDescent="0.2">
      <c r="A27" s="185"/>
      <c r="B27" s="180"/>
      <c r="C27" s="179"/>
      <c r="D27" s="176"/>
      <c r="E27" s="195"/>
      <c r="F27" s="213"/>
      <c r="G27" s="214" t="s">
        <v>31</v>
      </c>
      <c r="H27" s="213"/>
      <c r="I27" s="195"/>
      <c r="J27" s="213"/>
      <c r="K27" s="195">
        <f>SUM(K24:K26)</f>
        <v>135.96750000000003</v>
      </c>
      <c r="L27" s="212" t="s">
        <v>20</v>
      </c>
    </row>
    <row r="28" spans="1:12" s="183" customFormat="1" ht="85.5" hidden="1" x14ac:dyDescent="0.2">
      <c r="A28" s="241">
        <f>LOOKUP(2,1/(A$1:A27&lt;&gt;""),A$1:A27)+1</f>
        <v>2</v>
      </c>
      <c r="B28" s="193" t="s">
        <v>80</v>
      </c>
      <c r="C28" s="192"/>
      <c r="D28" s="176"/>
      <c r="E28" s="189"/>
      <c r="G28" s="187"/>
    </row>
    <row r="29" spans="1:12" s="183" customFormat="1" hidden="1" x14ac:dyDescent="0.2">
      <c r="A29" s="185"/>
      <c r="B29" s="180"/>
      <c r="C29" s="179"/>
      <c r="D29" s="216"/>
      <c r="E29" s="187"/>
      <c r="F29" s="245"/>
      <c r="G29" s="187"/>
      <c r="H29" s="216"/>
      <c r="I29" s="178"/>
      <c r="J29" s="215"/>
      <c r="K29" s="178"/>
      <c r="L29" s="190"/>
    </row>
    <row r="30" spans="1:12" s="183" customFormat="1" hidden="1" x14ac:dyDescent="0.2">
      <c r="A30" s="185"/>
      <c r="B30" s="180" t="s">
        <v>130</v>
      </c>
      <c r="C30" s="179">
        <v>1</v>
      </c>
      <c r="D30" s="216" t="s">
        <v>41</v>
      </c>
      <c r="E30" s="187">
        <f>E9-0.6</f>
        <v>5.4</v>
      </c>
      <c r="F30" s="245" t="s">
        <v>41</v>
      </c>
      <c r="G30" s="187">
        <f>E10-0.6</f>
        <v>14.4</v>
      </c>
      <c r="H30" s="216"/>
      <c r="I30" s="178"/>
      <c r="J30" s="215" t="s">
        <v>42</v>
      </c>
      <c r="K30" s="178">
        <f>IF(C30,C30*E30*G30,"")</f>
        <v>77.760000000000005</v>
      </c>
      <c r="L30" s="201" t="s">
        <v>22</v>
      </c>
    </row>
    <row r="31" spans="1:12" s="183" customFormat="1" hidden="1" x14ac:dyDescent="0.2">
      <c r="A31" s="185"/>
      <c r="B31" s="180"/>
      <c r="C31" s="179"/>
      <c r="D31" s="216"/>
      <c r="E31" s="187"/>
      <c r="F31" s="245"/>
      <c r="G31" s="187"/>
      <c r="H31" s="216"/>
      <c r="I31" s="178"/>
      <c r="J31" s="215"/>
      <c r="K31" s="178"/>
      <c r="L31" s="201"/>
    </row>
    <row r="32" spans="1:12" s="183" customFormat="1" hidden="1" x14ac:dyDescent="0.2">
      <c r="A32" s="185"/>
      <c r="B32" s="180" t="s">
        <v>97</v>
      </c>
      <c r="C32" s="179"/>
      <c r="D32" s="216"/>
      <c r="E32" s="187">
        <f>K30</f>
        <v>77.760000000000005</v>
      </c>
      <c r="F32" s="245" t="s">
        <v>41</v>
      </c>
      <c r="G32" s="187">
        <v>0.45</v>
      </c>
      <c r="H32" s="216"/>
      <c r="I32" s="178"/>
      <c r="J32" s="215" t="s">
        <v>42</v>
      </c>
      <c r="K32" s="178">
        <f>E32*G32</f>
        <v>34.992000000000004</v>
      </c>
      <c r="L32" s="190" t="s">
        <v>20</v>
      </c>
    </row>
    <row r="33" spans="1:12" s="183" customFormat="1" ht="15" hidden="1" x14ac:dyDescent="0.2">
      <c r="A33" s="185"/>
      <c r="B33" s="180"/>
      <c r="C33" s="179"/>
      <c r="D33" s="176"/>
      <c r="E33" s="195"/>
      <c r="F33" s="213"/>
      <c r="G33" s="214" t="s">
        <v>31</v>
      </c>
      <c r="H33" s="213"/>
      <c r="I33" s="195"/>
      <c r="J33" s="213"/>
      <c r="K33" s="195">
        <f>SUM(K32)</f>
        <v>34.992000000000004</v>
      </c>
      <c r="L33" s="212" t="s">
        <v>20</v>
      </c>
    </row>
    <row r="34" spans="1:12" s="183" customFormat="1" ht="99.75" hidden="1" x14ac:dyDescent="0.2">
      <c r="A34" s="241">
        <f>LOOKUP(2,1/(A$1:A33&lt;&gt;""),A$1:A33)+1</f>
        <v>3</v>
      </c>
      <c r="B34" s="193" t="s">
        <v>81</v>
      </c>
      <c r="C34" s="179"/>
      <c r="D34" s="219"/>
      <c r="E34" s="189"/>
      <c r="G34" s="187"/>
    </row>
    <row r="35" spans="1:12" s="183" customFormat="1" hidden="1" x14ac:dyDescent="0.2">
      <c r="A35" s="185"/>
      <c r="B35" s="180" t="s">
        <v>73</v>
      </c>
      <c r="C35" s="179">
        <v>1</v>
      </c>
      <c r="D35" s="216" t="s">
        <v>41</v>
      </c>
      <c r="E35" s="187">
        <f>E25</f>
        <v>42</v>
      </c>
      <c r="F35" s="245" t="s">
        <v>41</v>
      </c>
      <c r="G35" s="187">
        <f>G25</f>
        <v>0.9</v>
      </c>
      <c r="H35" s="216" t="s">
        <v>41</v>
      </c>
      <c r="I35" s="178">
        <v>0.15</v>
      </c>
      <c r="J35" s="215" t="s">
        <v>42</v>
      </c>
      <c r="K35" s="178">
        <f>IF(C35,C35*E35*G35*I35,"")</f>
        <v>5.6700000000000008</v>
      </c>
      <c r="L35" s="190" t="s">
        <v>20</v>
      </c>
    </row>
    <row r="36" spans="1:12" s="183" customFormat="1" hidden="1" x14ac:dyDescent="0.2">
      <c r="A36" s="185"/>
      <c r="B36" s="180" t="s">
        <v>126</v>
      </c>
      <c r="C36" s="179">
        <v>1</v>
      </c>
      <c r="D36" s="216" t="s">
        <v>41</v>
      </c>
      <c r="E36" s="187">
        <f>E26</f>
        <v>11.7</v>
      </c>
      <c r="F36" s="245" t="s">
        <v>41</v>
      </c>
      <c r="G36" s="187">
        <f>G26</f>
        <v>0.9</v>
      </c>
      <c r="H36" s="216" t="s">
        <v>41</v>
      </c>
      <c r="I36" s="178">
        <v>0.15</v>
      </c>
      <c r="J36" s="215" t="s">
        <v>42</v>
      </c>
      <c r="K36" s="178">
        <f>IF(C36,C36*E36*G36*I36,"")</f>
        <v>1.5794999999999999</v>
      </c>
      <c r="L36" s="190" t="s">
        <v>20</v>
      </c>
    </row>
    <row r="37" spans="1:12" s="183" customFormat="1" ht="15" hidden="1" x14ac:dyDescent="0.2">
      <c r="A37" s="179"/>
      <c r="B37" s="218" t="s">
        <v>131</v>
      </c>
      <c r="C37" s="179">
        <f>C24</f>
        <v>8</v>
      </c>
      <c r="D37" s="176" t="s">
        <v>41</v>
      </c>
      <c r="E37" s="247">
        <f>E24</f>
        <v>2.75</v>
      </c>
      <c r="F37" s="177" t="s">
        <v>41</v>
      </c>
      <c r="G37" s="247">
        <f>G24</f>
        <v>2.85</v>
      </c>
      <c r="H37" s="216" t="s">
        <v>41</v>
      </c>
      <c r="I37" s="178">
        <v>0.3</v>
      </c>
      <c r="J37" s="215" t="s">
        <v>42</v>
      </c>
      <c r="K37" s="178">
        <f>IF(C37,C37*E37*G37*I37,"")</f>
        <v>18.809999999999999</v>
      </c>
      <c r="L37" s="190" t="s">
        <v>20</v>
      </c>
    </row>
    <row r="38" spans="1:12" s="183" customFormat="1" ht="15" hidden="1" x14ac:dyDescent="0.2">
      <c r="A38" s="185"/>
      <c r="B38" s="180"/>
      <c r="C38" s="179"/>
      <c r="D38" s="176"/>
      <c r="E38" s="195"/>
      <c r="F38" s="213"/>
      <c r="G38" s="214" t="s">
        <v>98</v>
      </c>
      <c r="H38" s="213"/>
      <c r="I38" s="195"/>
      <c r="J38" s="213"/>
      <c r="K38" s="195">
        <f>SUM(K35:K37)</f>
        <v>26.0595</v>
      </c>
      <c r="L38" s="212" t="s">
        <v>20</v>
      </c>
    </row>
    <row r="39" spans="1:12" s="183" customFormat="1" ht="128.25" hidden="1" x14ac:dyDescent="0.2">
      <c r="A39" s="241">
        <f>LOOKUP(2,1/(A$1:A38&lt;&gt;""),A$1:A38)+1</f>
        <v>4</v>
      </c>
      <c r="B39" s="193" t="s">
        <v>82</v>
      </c>
      <c r="C39" s="179"/>
      <c r="D39" s="219"/>
      <c r="E39" s="189"/>
      <c r="G39" s="187"/>
    </row>
    <row r="40" spans="1:12" s="183" customFormat="1" hidden="1" x14ac:dyDescent="0.2">
      <c r="A40" s="185"/>
      <c r="B40" s="180" t="s">
        <v>142</v>
      </c>
      <c r="C40" s="179">
        <v>1</v>
      </c>
      <c r="D40" s="216" t="s">
        <v>41</v>
      </c>
      <c r="E40" s="187">
        <v>42</v>
      </c>
      <c r="F40" s="245" t="s">
        <v>41</v>
      </c>
      <c r="G40" s="187">
        <v>0.23</v>
      </c>
      <c r="H40" s="216" t="s">
        <v>41</v>
      </c>
      <c r="I40" s="178">
        <v>0.23</v>
      </c>
      <c r="J40" s="215" t="s">
        <v>42</v>
      </c>
      <c r="K40" s="178">
        <f>IF(C40,C40*E40*G40*I40,"")</f>
        <v>2.2218</v>
      </c>
      <c r="L40" s="190" t="s">
        <v>20</v>
      </c>
    </row>
    <row r="41" spans="1:12" s="183" customFormat="1" ht="15" hidden="1" x14ac:dyDescent="0.2">
      <c r="A41" s="179"/>
      <c r="B41" s="218" t="s">
        <v>131</v>
      </c>
      <c r="C41" s="179">
        <v>4</v>
      </c>
      <c r="D41" s="176" t="s">
        <v>41</v>
      </c>
      <c r="E41" s="217">
        <v>2</v>
      </c>
      <c r="F41" s="177" t="s">
        <v>41</v>
      </c>
      <c r="G41" s="217">
        <v>2</v>
      </c>
      <c r="H41" s="216" t="s">
        <v>41</v>
      </c>
      <c r="I41" s="178">
        <v>0.5</v>
      </c>
      <c r="J41" s="215" t="s">
        <v>42</v>
      </c>
      <c r="K41" s="178">
        <f>IF(C41,C41*E41*G41*I41,"")</f>
        <v>8</v>
      </c>
      <c r="L41" s="190" t="s">
        <v>20</v>
      </c>
    </row>
    <row r="42" spans="1:12" s="183" customFormat="1" ht="15" hidden="1" x14ac:dyDescent="0.2">
      <c r="A42" s="179"/>
      <c r="B42" s="218" t="s">
        <v>153</v>
      </c>
      <c r="C42" s="179">
        <v>4</v>
      </c>
      <c r="D42" s="176" t="s">
        <v>41</v>
      </c>
      <c r="E42" s="217">
        <f>E37-0.3</f>
        <v>2.4500000000000002</v>
      </c>
      <c r="F42" s="177" t="s">
        <v>41</v>
      </c>
      <c r="G42" s="217">
        <f>G37-0.3</f>
        <v>2.5500000000000003</v>
      </c>
      <c r="H42" s="216" t="s">
        <v>41</v>
      </c>
      <c r="I42" s="178">
        <v>0.83</v>
      </c>
      <c r="J42" s="215" t="s">
        <v>42</v>
      </c>
      <c r="K42" s="178">
        <f>IF(C42,C42*E42*G42*I42,"")</f>
        <v>20.741700000000005</v>
      </c>
      <c r="L42" s="190" t="s">
        <v>20</v>
      </c>
    </row>
    <row r="43" spans="1:12" s="183" customFormat="1" ht="15" hidden="1" x14ac:dyDescent="0.2">
      <c r="A43" s="185"/>
      <c r="B43" s="180"/>
      <c r="C43" s="179"/>
      <c r="D43" s="176"/>
      <c r="E43" s="195"/>
      <c r="F43" s="213"/>
      <c r="G43" s="214" t="s">
        <v>98</v>
      </c>
      <c r="H43" s="213"/>
      <c r="I43" s="195"/>
      <c r="J43" s="213"/>
      <c r="K43" s="195">
        <f>SUM(K40:K42)</f>
        <v>30.963500000000003</v>
      </c>
      <c r="L43" s="212" t="s">
        <v>20</v>
      </c>
    </row>
    <row r="44" spans="1:12" s="183" customFormat="1" ht="102" hidden="1" x14ac:dyDescent="0.2">
      <c r="A44" s="241">
        <f>LOOKUP(2,1/(A$1:A43&lt;&gt;""),A$1:A43)+1</f>
        <v>5</v>
      </c>
      <c r="B44" s="180" t="s">
        <v>95</v>
      </c>
      <c r="C44" s="192"/>
      <c r="D44" s="190"/>
      <c r="E44" s="189"/>
      <c r="F44" s="188"/>
      <c r="G44" s="187"/>
    </row>
    <row r="45" spans="1:12" s="183" customFormat="1" hidden="1" x14ac:dyDescent="0.2">
      <c r="A45" s="179"/>
      <c r="B45" s="229" t="s">
        <v>100</v>
      </c>
      <c r="C45" s="179">
        <v>8</v>
      </c>
      <c r="D45" s="176" t="s">
        <v>41</v>
      </c>
      <c r="E45" s="189">
        <f>2*(E42+G42)</f>
        <v>10</v>
      </c>
      <c r="F45" s="183" t="s">
        <v>41</v>
      </c>
      <c r="G45" s="189">
        <f>I42</f>
        <v>0.83</v>
      </c>
      <c r="J45" s="224" t="s">
        <v>42</v>
      </c>
      <c r="K45" s="189">
        <f>IF(C45,C45*E45*G45,"")</f>
        <v>66.399999999999991</v>
      </c>
      <c r="L45" s="201" t="s">
        <v>22</v>
      </c>
    </row>
    <row r="46" spans="1:12" s="183" customFormat="1" hidden="1" x14ac:dyDescent="0.2">
      <c r="A46" s="185"/>
      <c r="B46" s="180" t="s">
        <v>142</v>
      </c>
      <c r="C46" s="179">
        <v>2</v>
      </c>
      <c r="D46" s="216" t="s">
        <v>41</v>
      </c>
      <c r="E46" s="187">
        <v>42</v>
      </c>
      <c r="F46" s="245" t="s">
        <v>41</v>
      </c>
      <c r="G46" s="187">
        <v>0.23</v>
      </c>
      <c r="J46" s="224" t="s">
        <v>42</v>
      </c>
      <c r="K46" s="189">
        <f>IF(C46,C46*E46*G46,"")</f>
        <v>19.32</v>
      </c>
      <c r="L46" s="201" t="s">
        <v>22</v>
      </c>
    </row>
    <row r="47" spans="1:12" s="183" customFormat="1" ht="15" hidden="1" x14ac:dyDescent="0.2">
      <c r="A47" s="185"/>
      <c r="B47" s="180"/>
      <c r="C47" s="179"/>
      <c r="D47" s="176"/>
      <c r="E47" s="220"/>
      <c r="F47" s="213"/>
      <c r="G47" s="214" t="s">
        <v>31</v>
      </c>
      <c r="H47" s="213"/>
      <c r="I47" s="195"/>
      <c r="J47" s="213"/>
      <c r="K47" s="195">
        <f>SUM(K45:K46)</f>
        <v>85.72</v>
      </c>
      <c r="L47" s="228" t="s">
        <v>22</v>
      </c>
    </row>
    <row r="48" spans="1:12" s="183" customFormat="1" ht="15" x14ac:dyDescent="0.2">
      <c r="A48" s="185"/>
      <c r="B48" s="180"/>
      <c r="C48" s="179"/>
      <c r="D48" s="176"/>
      <c r="E48" s="220"/>
      <c r="F48" s="243"/>
      <c r="G48" s="244"/>
      <c r="H48" s="243"/>
      <c r="I48" s="191"/>
      <c r="J48" s="243"/>
      <c r="K48" s="191"/>
      <c r="L48" s="242"/>
    </row>
    <row r="49" spans="1:12" s="145" customFormat="1" ht="150" x14ac:dyDescent="0.2">
      <c r="A49" s="241">
        <v>1</v>
      </c>
      <c r="B49" s="259" t="s">
        <v>122</v>
      </c>
      <c r="C49" s="192"/>
      <c r="D49" s="190"/>
      <c r="E49" s="189"/>
      <c r="F49" s="188"/>
      <c r="G49" s="187"/>
      <c r="H49" s="183"/>
      <c r="I49" s="183"/>
      <c r="J49" s="183"/>
      <c r="K49" s="183"/>
      <c r="L49" s="183"/>
    </row>
    <row r="50" spans="1:12" s="183" customFormat="1" x14ac:dyDescent="0.2">
      <c r="A50" s="185"/>
      <c r="B50" s="180" t="s">
        <v>134</v>
      </c>
      <c r="C50" s="179">
        <v>1</v>
      </c>
      <c r="D50" s="216" t="s">
        <v>41</v>
      </c>
      <c r="E50" s="187">
        <v>42</v>
      </c>
      <c r="F50" s="245" t="s">
        <v>41</v>
      </c>
      <c r="G50" s="187">
        <v>0.23</v>
      </c>
      <c r="H50" s="216" t="s">
        <v>41</v>
      </c>
      <c r="I50" s="178">
        <v>0.15</v>
      </c>
      <c r="J50" s="215" t="s">
        <v>42</v>
      </c>
      <c r="K50" s="178">
        <f>IF(C50,C50*E50*G50*I50,"")</f>
        <v>1.4490000000000001</v>
      </c>
      <c r="L50" s="190" t="s">
        <v>20</v>
      </c>
    </row>
    <row r="51" spans="1:12" s="183" customFormat="1" x14ac:dyDescent="0.2">
      <c r="A51" s="185"/>
      <c r="B51" s="180" t="s">
        <v>143</v>
      </c>
      <c r="C51" s="179">
        <v>1</v>
      </c>
      <c r="D51" s="216" t="s">
        <v>41</v>
      </c>
      <c r="E51" s="187">
        <v>42</v>
      </c>
      <c r="F51" s="245" t="s">
        <v>41</v>
      </c>
      <c r="G51" s="187">
        <v>0.23</v>
      </c>
      <c r="H51" s="216" t="s">
        <v>41</v>
      </c>
      <c r="I51" s="178">
        <v>0.45</v>
      </c>
      <c r="J51" s="215" t="s">
        <v>42</v>
      </c>
      <c r="K51" s="178">
        <f>IF(C51,C51*E51*G51*I51,"")</f>
        <v>4.3470000000000004</v>
      </c>
      <c r="L51" s="190" t="s">
        <v>20</v>
      </c>
    </row>
    <row r="52" spans="1:12" s="183" customFormat="1" x14ac:dyDescent="0.2">
      <c r="A52" s="185"/>
      <c r="B52" s="180" t="s">
        <v>133</v>
      </c>
      <c r="C52" s="179">
        <v>2</v>
      </c>
      <c r="D52" s="216" t="s">
        <v>41</v>
      </c>
      <c r="E52" s="187">
        <v>6</v>
      </c>
      <c r="F52" s="245" t="s">
        <v>41</v>
      </c>
      <c r="G52" s="187">
        <v>0.23</v>
      </c>
      <c r="H52" s="216" t="s">
        <v>41</v>
      </c>
      <c r="I52" s="178">
        <v>0.45</v>
      </c>
      <c r="J52" s="215" t="s">
        <v>42</v>
      </c>
      <c r="K52" s="178">
        <f>IF(C52,C52*E52*G52*I52,"")</f>
        <v>1.2420000000000002</v>
      </c>
      <c r="L52" s="190" t="s">
        <v>20</v>
      </c>
    </row>
    <row r="53" spans="1:12" s="183" customFormat="1" x14ac:dyDescent="0.2">
      <c r="A53" s="185"/>
      <c r="B53" s="180" t="s">
        <v>138</v>
      </c>
      <c r="C53" s="179">
        <v>3</v>
      </c>
      <c r="D53" s="216" t="s">
        <v>41</v>
      </c>
      <c r="E53" s="187">
        <v>5.54</v>
      </c>
      <c r="F53" s="245" t="s">
        <v>41</v>
      </c>
      <c r="G53" s="187">
        <v>4.7699999999999996</v>
      </c>
      <c r="H53" s="216" t="s">
        <v>41</v>
      </c>
      <c r="I53" s="178">
        <v>0.15</v>
      </c>
      <c r="J53" s="215" t="s">
        <v>42</v>
      </c>
      <c r="K53" s="178">
        <f>IF(C53,C53*E53*G53*I53,"")</f>
        <v>11.89161</v>
      </c>
      <c r="L53" s="190" t="s">
        <v>20</v>
      </c>
    </row>
    <row r="54" spans="1:12" s="183" customFormat="1" x14ac:dyDescent="0.2">
      <c r="A54" s="185"/>
      <c r="B54" s="180" t="s">
        <v>140</v>
      </c>
      <c r="C54" s="179">
        <v>2</v>
      </c>
      <c r="D54" s="216" t="s">
        <v>41</v>
      </c>
      <c r="E54" s="187">
        <v>2.75</v>
      </c>
      <c r="F54" s="245" t="s">
        <v>41</v>
      </c>
      <c r="G54" s="187">
        <v>1.43</v>
      </c>
      <c r="H54" s="216" t="s">
        <v>41</v>
      </c>
      <c r="I54" s="178">
        <v>0.25</v>
      </c>
      <c r="J54" s="215" t="s">
        <v>42</v>
      </c>
      <c r="K54" s="178">
        <f>IF(C54,C54*E54*G54*I54,"")</f>
        <v>1.9662499999999998</v>
      </c>
      <c r="L54" s="190" t="s">
        <v>20</v>
      </c>
    </row>
    <row r="55" spans="1:12" s="183" customFormat="1" x14ac:dyDescent="0.2">
      <c r="A55" s="185"/>
      <c r="B55" s="180"/>
      <c r="C55" s="179">
        <v>1</v>
      </c>
      <c r="D55" s="216" t="s">
        <v>41</v>
      </c>
      <c r="E55" s="187">
        <v>1.2</v>
      </c>
      <c r="F55" s="245" t="s">
        <v>41</v>
      </c>
      <c r="G55" s="187">
        <v>1.43</v>
      </c>
      <c r="H55" s="216" t="s">
        <v>41</v>
      </c>
      <c r="I55" s="178">
        <v>0.25</v>
      </c>
      <c r="J55" s="215" t="s">
        <v>42</v>
      </c>
      <c r="K55" s="178">
        <f>IF(C55,C55*E55*G55*I55,"")</f>
        <v>0.42899999999999999</v>
      </c>
      <c r="L55" s="190" t="s">
        <v>20</v>
      </c>
    </row>
    <row r="56" spans="1:12" s="183" customFormat="1" ht="15" x14ac:dyDescent="0.2">
      <c r="A56" s="185"/>
      <c r="B56" s="180"/>
      <c r="C56" s="179"/>
      <c r="D56" s="176"/>
      <c r="E56" s="195"/>
      <c r="F56" s="213"/>
      <c r="G56" s="214" t="s">
        <v>31</v>
      </c>
      <c r="H56" s="213"/>
      <c r="I56" s="195"/>
      <c r="J56" s="213"/>
      <c r="K56" s="195">
        <f>SUM(K50:K55)</f>
        <v>21.324859999999997</v>
      </c>
      <c r="L56" s="212" t="s">
        <v>20</v>
      </c>
    </row>
    <row r="57" spans="1:12" s="183" customFormat="1" ht="15" x14ac:dyDescent="0.2">
      <c r="A57" s="185"/>
      <c r="B57" s="180"/>
      <c r="C57" s="179"/>
      <c r="D57" s="176"/>
      <c r="E57" s="191"/>
      <c r="F57" s="243"/>
      <c r="G57" s="244"/>
      <c r="H57" s="243"/>
      <c r="I57" s="191"/>
      <c r="J57" s="243"/>
      <c r="K57" s="191"/>
      <c r="L57" s="246"/>
    </row>
    <row r="58" spans="1:12" s="145" customFormat="1" ht="210" x14ac:dyDescent="0.2">
      <c r="A58" s="241">
        <f>LOOKUP(2,1/(A$1:A57&lt;&gt;""),A$1:A57)+1</f>
        <v>2</v>
      </c>
      <c r="B58" s="259" t="s">
        <v>158</v>
      </c>
      <c r="C58" s="192"/>
      <c r="D58" s="190"/>
      <c r="E58" s="189"/>
      <c r="F58" s="188"/>
      <c r="G58" s="187"/>
      <c r="H58" s="183"/>
      <c r="I58" s="183"/>
      <c r="J58" s="183"/>
      <c r="K58" s="183"/>
      <c r="L58" s="183"/>
    </row>
    <row r="59" spans="1:12" s="183" customFormat="1" x14ac:dyDescent="0.2">
      <c r="A59" s="185"/>
      <c r="B59" s="180" t="s">
        <v>6</v>
      </c>
      <c r="C59" s="179">
        <v>8</v>
      </c>
      <c r="D59" s="216" t="s">
        <v>41</v>
      </c>
      <c r="E59" s="187">
        <v>0.3</v>
      </c>
      <c r="F59" s="245" t="s">
        <v>41</v>
      </c>
      <c r="G59" s="187">
        <v>0.45</v>
      </c>
      <c r="H59" s="216" t="s">
        <v>41</v>
      </c>
      <c r="I59" s="178">
        <v>3.6</v>
      </c>
      <c r="J59" s="215" t="s">
        <v>42</v>
      </c>
      <c r="K59" s="178">
        <f>IF(C59,C59*E59*G59*I59,"")</f>
        <v>3.8880000000000003</v>
      </c>
      <c r="L59" s="190" t="s">
        <v>20</v>
      </c>
    </row>
    <row r="60" spans="1:12" s="183" customFormat="1" ht="15" x14ac:dyDescent="0.2">
      <c r="A60" s="185"/>
      <c r="B60" s="180"/>
      <c r="C60" s="179"/>
      <c r="D60" s="176"/>
      <c r="E60" s="195"/>
      <c r="F60" s="213"/>
      <c r="G60" s="214" t="s">
        <v>31</v>
      </c>
      <c r="H60" s="213"/>
      <c r="I60" s="195"/>
      <c r="J60" s="213"/>
      <c r="K60" s="195">
        <f>SUM(K59:K59)</f>
        <v>3.8880000000000003</v>
      </c>
      <c r="L60" s="212" t="s">
        <v>20</v>
      </c>
    </row>
    <row r="61" spans="1:12" s="145" customFormat="1" ht="90" x14ac:dyDescent="0.2">
      <c r="A61" s="241">
        <f>LOOKUP(2,1/(A$1:A47&lt;&gt;""),A$1:A47)+1</f>
        <v>6</v>
      </c>
      <c r="B61" s="259" t="s">
        <v>111</v>
      </c>
      <c r="C61" s="192"/>
      <c r="D61" s="190"/>
      <c r="E61" s="189"/>
      <c r="F61" s="188"/>
      <c r="G61" s="187"/>
      <c r="H61" s="183"/>
      <c r="I61" s="183"/>
      <c r="J61" s="183"/>
      <c r="K61" s="183"/>
      <c r="L61" s="183"/>
    </row>
    <row r="62" spans="1:12" s="145" customFormat="1" ht="75" x14ac:dyDescent="0.2">
      <c r="A62" s="241"/>
      <c r="B62" s="259" t="s">
        <v>139</v>
      </c>
      <c r="C62" s="192"/>
      <c r="D62" s="190"/>
      <c r="E62" s="189"/>
      <c r="F62" s="188"/>
      <c r="G62" s="187"/>
      <c r="H62" s="183"/>
      <c r="I62" s="183"/>
      <c r="J62" s="183"/>
      <c r="K62" s="183"/>
      <c r="L62" s="183"/>
    </row>
    <row r="63" spans="1:12" s="183" customFormat="1" x14ac:dyDescent="0.2">
      <c r="A63" s="179"/>
      <c r="B63" s="229" t="s">
        <v>134</v>
      </c>
      <c r="C63" s="192">
        <v>1</v>
      </c>
      <c r="D63" s="176" t="s">
        <v>41</v>
      </c>
      <c r="E63" s="189">
        <f>K11</f>
        <v>42</v>
      </c>
      <c r="F63" s="183" t="s">
        <v>41</v>
      </c>
      <c r="G63" s="189">
        <v>0.23</v>
      </c>
      <c r="J63" s="224" t="s">
        <v>42</v>
      </c>
      <c r="K63" s="189">
        <f>IF(C63,C63*E63*G63,"")</f>
        <v>9.66</v>
      </c>
      <c r="L63" s="201" t="s">
        <v>22</v>
      </c>
    </row>
    <row r="64" spans="1:12" s="183" customFormat="1" x14ac:dyDescent="0.2">
      <c r="A64" s="179"/>
      <c r="B64" s="229" t="s">
        <v>135</v>
      </c>
      <c r="C64" s="179">
        <f>2</f>
        <v>2</v>
      </c>
      <c r="D64" s="176" t="s">
        <v>41</v>
      </c>
      <c r="E64" s="189">
        <f>E63</f>
        <v>42</v>
      </c>
      <c r="F64" s="183" t="s">
        <v>41</v>
      </c>
      <c r="G64" s="189">
        <v>0.23</v>
      </c>
      <c r="J64" s="224" t="s">
        <v>42</v>
      </c>
      <c r="K64" s="189">
        <f>IF(C64,C64*E64*G64,"")</f>
        <v>19.32</v>
      </c>
      <c r="L64" s="201" t="s">
        <v>22</v>
      </c>
    </row>
    <row r="65" spans="1:12" s="183" customFormat="1" x14ac:dyDescent="0.2">
      <c r="A65" s="179"/>
      <c r="B65" s="229" t="s">
        <v>137</v>
      </c>
      <c r="C65" s="192">
        <v>1</v>
      </c>
      <c r="D65" s="176" t="s">
        <v>41</v>
      </c>
      <c r="E65" s="189">
        <v>42</v>
      </c>
      <c r="F65" s="183" t="s">
        <v>41</v>
      </c>
      <c r="G65" s="189">
        <v>0.23</v>
      </c>
      <c r="J65" s="224" t="s">
        <v>42</v>
      </c>
      <c r="K65" s="189">
        <f>IF(C65,C65*E65*G65,"")</f>
        <v>9.66</v>
      </c>
      <c r="L65" s="201" t="s">
        <v>22</v>
      </c>
    </row>
    <row r="66" spans="1:12" s="183" customFormat="1" x14ac:dyDescent="0.2">
      <c r="A66" s="179"/>
      <c r="B66" s="229" t="s">
        <v>136</v>
      </c>
      <c r="C66" s="179">
        <v>2</v>
      </c>
      <c r="D66" s="176" t="s">
        <v>41</v>
      </c>
      <c r="E66" s="189">
        <v>42</v>
      </c>
      <c r="F66" s="183" t="s">
        <v>41</v>
      </c>
      <c r="G66" s="189">
        <v>0.45</v>
      </c>
      <c r="J66" s="224" t="s">
        <v>42</v>
      </c>
      <c r="K66" s="189">
        <f>IF(C66,C66*E66*G66,"")</f>
        <v>37.800000000000004</v>
      </c>
      <c r="L66" s="201" t="s">
        <v>22</v>
      </c>
    </row>
    <row r="67" spans="1:12" s="183" customFormat="1" x14ac:dyDescent="0.2">
      <c r="A67" s="179"/>
      <c r="B67" s="229" t="s">
        <v>133</v>
      </c>
      <c r="C67" s="192">
        <v>2</v>
      </c>
      <c r="D67" s="176" t="s">
        <v>41</v>
      </c>
      <c r="E67" s="189">
        <v>6</v>
      </c>
      <c r="F67" s="183" t="s">
        <v>41</v>
      </c>
      <c r="G67" s="189">
        <v>0.23</v>
      </c>
      <c r="J67" s="224" t="s">
        <v>42</v>
      </c>
      <c r="K67" s="189">
        <f>IF(C67,C67*E67*G67,"")</f>
        <v>2.7600000000000002</v>
      </c>
      <c r="L67" s="201" t="s">
        <v>22</v>
      </c>
    </row>
    <row r="68" spans="1:12" s="183" customFormat="1" x14ac:dyDescent="0.2">
      <c r="A68" s="179"/>
      <c r="B68" s="229" t="s">
        <v>136</v>
      </c>
      <c r="C68" s="179">
        <v>4</v>
      </c>
      <c r="D68" s="176" t="s">
        <v>41</v>
      </c>
      <c r="E68" s="189">
        <f>E67</f>
        <v>6</v>
      </c>
      <c r="F68" s="183" t="s">
        <v>41</v>
      </c>
      <c r="G68" s="189">
        <v>0.45</v>
      </c>
      <c r="J68" s="224" t="s">
        <v>42</v>
      </c>
      <c r="K68" s="189">
        <f>IF(C68,C68*E68*G68,"")</f>
        <v>10.8</v>
      </c>
      <c r="L68" s="201" t="s">
        <v>22</v>
      </c>
    </row>
    <row r="69" spans="1:12" s="183" customFormat="1" x14ac:dyDescent="0.2">
      <c r="A69" s="179"/>
      <c r="B69" s="229" t="s">
        <v>138</v>
      </c>
      <c r="C69" s="179">
        <v>3</v>
      </c>
      <c r="D69" s="176" t="s">
        <v>41</v>
      </c>
      <c r="E69" s="189">
        <f>6-0.46</f>
        <v>5.54</v>
      </c>
      <c r="F69" s="183" t="s">
        <v>41</v>
      </c>
      <c r="G69" s="189">
        <f>15/3-0.23</f>
        <v>4.7699999999999996</v>
      </c>
      <c r="J69" s="224" t="s">
        <v>42</v>
      </c>
      <c r="K69" s="189">
        <f>IF(C69,C69*E69*G69,"")</f>
        <v>79.2774</v>
      </c>
      <c r="L69" s="201" t="s">
        <v>22</v>
      </c>
    </row>
    <row r="70" spans="1:12" s="183" customFormat="1" x14ac:dyDescent="0.2">
      <c r="A70" s="179"/>
      <c r="B70" s="229" t="s">
        <v>140</v>
      </c>
      <c r="C70" s="192">
        <v>2</v>
      </c>
      <c r="D70" s="176" t="s">
        <v>41</v>
      </c>
      <c r="E70" s="189">
        <v>2.75</v>
      </c>
      <c r="F70" s="183" t="s">
        <v>41</v>
      </c>
      <c r="G70" s="189">
        <v>1.2</v>
      </c>
      <c r="J70" s="224" t="s">
        <v>42</v>
      </c>
      <c r="K70" s="189">
        <f>IF(C70,C70*E70*G70,"")</f>
        <v>6.6</v>
      </c>
      <c r="L70" s="201" t="s">
        <v>22</v>
      </c>
    </row>
    <row r="71" spans="1:12" s="183" customFormat="1" x14ac:dyDescent="0.2">
      <c r="A71" s="179"/>
      <c r="B71" s="229"/>
      <c r="C71" s="179">
        <v>1</v>
      </c>
      <c r="D71" s="176" t="s">
        <v>41</v>
      </c>
      <c r="E71" s="189">
        <v>1.2</v>
      </c>
      <c r="F71" s="183" t="s">
        <v>41</v>
      </c>
      <c r="G71" s="189">
        <v>1.2</v>
      </c>
      <c r="J71" s="224" t="s">
        <v>42</v>
      </c>
      <c r="K71" s="189">
        <f>IF(C71,C71*E71*G71,"")</f>
        <v>1.44</v>
      </c>
      <c r="L71" s="201" t="s">
        <v>22</v>
      </c>
    </row>
    <row r="72" spans="1:12" s="183" customFormat="1" x14ac:dyDescent="0.2">
      <c r="A72" s="179"/>
      <c r="B72" s="229" t="s">
        <v>160</v>
      </c>
      <c r="C72" s="192">
        <v>4</v>
      </c>
      <c r="D72" s="176" t="s">
        <v>41</v>
      </c>
      <c r="E72" s="189">
        <v>2.75</v>
      </c>
      <c r="F72" s="183" t="s">
        <v>41</v>
      </c>
      <c r="G72" s="189">
        <v>0.25</v>
      </c>
      <c r="J72" s="224" t="s">
        <v>42</v>
      </c>
      <c r="K72" s="189">
        <f>IF(C72,C72*E72*G72,"")</f>
        <v>2.75</v>
      </c>
      <c r="L72" s="201" t="s">
        <v>22</v>
      </c>
    </row>
    <row r="73" spans="1:12" s="183" customFormat="1" x14ac:dyDescent="0.2">
      <c r="A73" s="179"/>
      <c r="B73" s="229"/>
      <c r="C73" s="179">
        <v>1</v>
      </c>
      <c r="D73" s="176" t="s">
        <v>41</v>
      </c>
      <c r="E73" s="189">
        <v>4.8</v>
      </c>
      <c r="F73" s="183" t="s">
        <v>41</v>
      </c>
      <c r="G73" s="189">
        <v>0.25</v>
      </c>
      <c r="J73" s="224" t="s">
        <v>42</v>
      </c>
      <c r="K73" s="189">
        <f>IF(C73,C73*E73*G73,"")</f>
        <v>1.2</v>
      </c>
      <c r="L73" s="201" t="s">
        <v>22</v>
      </c>
    </row>
    <row r="74" spans="1:12" s="183" customFormat="1" ht="15" x14ac:dyDescent="0.2">
      <c r="A74" s="185"/>
      <c r="B74" s="180"/>
      <c r="C74" s="179"/>
      <c r="D74" s="176"/>
      <c r="E74" s="220"/>
      <c r="F74" s="213"/>
      <c r="G74" s="214" t="s">
        <v>31</v>
      </c>
      <c r="H74" s="213"/>
      <c r="I74" s="195"/>
      <c r="J74" s="213"/>
      <c r="K74" s="195">
        <f>SUM(K63:K73)</f>
        <v>181.26739999999998</v>
      </c>
      <c r="L74" s="228" t="s">
        <v>22</v>
      </c>
    </row>
    <row r="75" spans="1:12" s="183" customFormat="1" ht="15" x14ac:dyDescent="0.2">
      <c r="A75" s="185"/>
      <c r="B75" s="180"/>
      <c r="C75" s="179"/>
      <c r="D75" s="176"/>
      <c r="E75" s="220"/>
      <c r="F75" s="243"/>
      <c r="G75" s="244"/>
      <c r="H75" s="243"/>
      <c r="I75" s="191"/>
      <c r="J75" s="243"/>
      <c r="K75" s="191"/>
      <c r="L75" s="242"/>
    </row>
    <row r="76" spans="1:12" s="145" customFormat="1" ht="15" x14ac:dyDescent="0.2">
      <c r="A76" s="241"/>
      <c r="B76" s="259" t="s">
        <v>113</v>
      </c>
      <c r="C76" s="192"/>
      <c r="D76" s="190"/>
      <c r="E76" s="189"/>
      <c r="F76" s="188"/>
      <c r="G76" s="187"/>
      <c r="H76" s="183"/>
      <c r="I76" s="183"/>
      <c r="J76" s="183"/>
      <c r="K76" s="183"/>
      <c r="L76" s="183"/>
    </row>
    <row r="77" spans="1:12" s="183" customFormat="1" x14ac:dyDescent="0.2">
      <c r="A77" s="179"/>
      <c r="B77" s="229" t="s">
        <v>5</v>
      </c>
      <c r="C77" s="179">
        <f>C45</f>
        <v>8</v>
      </c>
      <c r="D77" s="176" t="s">
        <v>41</v>
      </c>
      <c r="E77" s="189">
        <f>2*(0.3*0.45)</f>
        <v>0.27</v>
      </c>
      <c r="F77" s="183" t="s">
        <v>41</v>
      </c>
      <c r="G77" s="189">
        <v>4.5</v>
      </c>
      <c r="J77" s="224" t="s">
        <v>42</v>
      </c>
      <c r="K77" s="189">
        <f>IF(C77,C77*E77*G77,"")</f>
        <v>9.7200000000000006</v>
      </c>
      <c r="L77" s="201" t="s">
        <v>22</v>
      </c>
    </row>
    <row r="78" spans="1:12" s="183" customFormat="1" ht="15" x14ac:dyDescent="0.2">
      <c r="A78" s="185"/>
      <c r="B78" s="180"/>
      <c r="C78" s="179"/>
      <c r="D78" s="176"/>
      <c r="E78" s="220"/>
      <c r="F78" s="213"/>
      <c r="G78" s="214" t="s">
        <v>31</v>
      </c>
      <c r="H78" s="213"/>
      <c r="I78" s="195"/>
      <c r="J78" s="213"/>
      <c r="K78" s="195">
        <f>SUM(K77:K77)</f>
        <v>9.7200000000000006</v>
      </c>
      <c r="L78" s="228" t="s">
        <v>22</v>
      </c>
    </row>
    <row r="79" spans="1:12" s="183" customFormat="1" ht="114" x14ac:dyDescent="0.2">
      <c r="A79" s="241">
        <f>LOOKUP(2,1/(A$1:A47&lt;&gt;""),A$1:A47)+1</f>
        <v>6</v>
      </c>
      <c r="B79" s="180" t="s">
        <v>72</v>
      </c>
      <c r="C79" s="207"/>
      <c r="D79" s="176"/>
      <c r="E79" s="189"/>
      <c r="F79" s="188"/>
      <c r="G79" s="187"/>
    </row>
    <row r="80" spans="1:12" s="183" customFormat="1" x14ac:dyDescent="0.2">
      <c r="A80" s="179"/>
      <c r="B80" s="180" t="s">
        <v>6</v>
      </c>
      <c r="C80" s="240">
        <f>K60</f>
        <v>3.8880000000000003</v>
      </c>
      <c r="D80" s="240"/>
      <c r="E80" s="189" t="s">
        <v>52</v>
      </c>
      <c r="F80" s="188"/>
      <c r="G80" s="239">
        <v>125</v>
      </c>
      <c r="H80" s="190" t="s">
        <v>53</v>
      </c>
      <c r="I80" s="176"/>
      <c r="J80" s="186" t="s">
        <v>42</v>
      </c>
      <c r="K80" s="237">
        <f>C80*G80</f>
        <v>486.00000000000006</v>
      </c>
      <c r="L80" s="176" t="s">
        <v>24</v>
      </c>
    </row>
    <row r="81" spans="1:12" s="183" customFormat="1" x14ac:dyDescent="0.2">
      <c r="A81" s="179"/>
      <c r="B81" s="180" t="s">
        <v>125</v>
      </c>
      <c r="C81" s="240">
        <f>K56</f>
        <v>21.324859999999997</v>
      </c>
      <c r="D81" s="240"/>
      <c r="E81" s="189" t="s">
        <v>52</v>
      </c>
      <c r="F81" s="188"/>
      <c r="G81" s="239">
        <v>100</v>
      </c>
      <c r="H81" s="190" t="s">
        <v>53</v>
      </c>
      <c r="I81" s="176"/>
      <c r="J81" s="186" t="s">
        <v>42</v>
      </c>
      <c r="K81" s="237">
        <f>C81*G81</f>
        <v>2132.4859999999999</v>
      </c>
      <c r="L81" s="176" t="s">
        <v>24</v>
      </c>
    </row>
    <row r="82" spans="1:12" s="183" customFormat="1" x14ac:dyDescent="0.2">
      <c r="A82" s="185"/>
      <c r="B82" s="180"/>
      <c r="C82" s="179"/>
      <c r="D82" s="176"/>
      <c r="E82" s="189"/>
      <c r="G82" s="197" t="s">
        <v>43</v>
      </c>
      <c r="H82" s="210"/>
      <c r="I82" s="209"/>
      <c r="J82" s="210"/>
      <c r="K82" s="238">
        <f>SUM(K80:K81)</f>
        <v>2618.4859999999999</v>
      </c>
      <c r="L82" s="183" t="s">
        <v>24</v>
      </c>
    </row>
    <row r="83" spans="1:12" s="183" customFormat="1" x14ac:dyDescent="0.2">
      <c r="A83" s="185"/>
      <c r="B83" s="180"/>
      <c r="C83" s="192"/>
      <c r="D83" s="176"/>
      <c r="E83" s="189"/>
      <c r="G83" s="178"/>
      <c r="H83" s="176"/>
      <c r="I83" s="177"/>
      <c r="J83" s="176"/>
      <c r="K83" s="237"/>
    </row>
    <row r="84" spans="1:12" s="183" customFormat="1" ht="42.75" x14ac:dyDescent="0.2">
      <c r="A84" s="179">
        <v>7</v>
      </c>
      <c r="B84" s="193" t="s">
        <v>3</v>
      </c>
      <c r="C84" s="192"/>
      <c r="D84" s="176"/>
      <c r="E84" s="189"/>
      <c r="G84" s="187"/>
    </row>
    <row r="85" spans="1:12" s="183" customFormat="1" ht="15" x14ac:dyDescent="0.2">
      <c r="A85" s="185"/>
      <c r="B85" s="236" t="s">
        <v>105</v>
      </c>
      <c r="C85" s="179">
        <v>1</v>
      </c>
      <c r="D85" s="176" t="s">
        <v>41</v>
      </c>
      <c r="E85" s="189">
        <f>K11</f>
        <v>42</v>
      </c>
      <c r="F85" s="183" t="s">
        <v>41</v>
      </c>
      <c r="G85" s="187">
        <v>0.23</v>
      </c>
      <c r="H85" s="183" t="s">
        <v>41</v>
      </c>
      <c r="I85" s="177">
        <v>3</v>
      </c>
      <c r="J85" s="186" t="s">
        <v>42</v>
      </c>
      <c r="K85" s="177">
        <f>IF(C85,C85*E85*G85*I85,"")</f>
        <v>28.98</v>
      </c>
      <c r="L85" s="190" t="s">
        <v>20</v>
      </c>
    </row>
    <row r="86" spans="1:12" s="183" customFormat="1" ht="15" x14ac:dyDescent="0.2">
      <c r="A86" s="185"/>
      <c r="B86" s="236" t="s">
        <v>105</v>
      </c>
      <c r="C86" s="179">
        <v>2</v>
      </c>
      <c r="D86" s="176" t="s">
        <v>41</v>
      </c>
      <c r="E86" s="189">
        <v>5.54</v>
      </c>
      <c r="F86" s="183" t="s">
        <v>41</v>
      </c>
      <c r="G86" s="187">
        <v>0.23</v>
      </c>
      <c r="H86" s="183" t="s">
        <v>41</v>
      </c>
      <c r="I86" s="177">
        <v>3</v>
      </c>
      <c r="J86" s="186" t="s">
        <v>42</v>
      </c>
      <c r="K86" s="177">
        <f>IF(C86,C86*E86*G86*I86,"")</f>
        <v>7.6452</v>
      </c>
      <c r="L86" s="190" t="s">
        <v>20</v>
      </c>
    </row>
    <row r="87" spans="1:12" s="183" customFormat="1" x14ac:dyDescent="0.2">
      <c r="A87" s="185"/>
      <c r="B87" s="180"/>
      <c r="C87" s="179"/>
      <c r="D87" s="176"/>
      <c r="E87" s="209"/>
      <c r="F87" s="210"/>
      <c r="G87" s="197" t="s">
        <v>45</v>
      </c>
      <c r="H87" s="210"/>
      <c r="I87" s="209"/>
      <c r="J87" s="194" t="s">
        <v>46</v>
      </c>
      <c r="K87" s="209">
        <f>SUM(K85:K86)</f>
        <v>36.6252</v>
      </c>
      <c r="L87" s="188" t="s">
        <v>20</v>
      </c>
    </row>
    <row r="88" spans="1:12" s="183" customFormat="1" ht="15" x14ac:dyDescent="0.2">
      <c r="A88" s="185"/>
      <c r="B88" s="236" t="s">
        <v>47</v>
      </c>
      <c r="C88" s="179"/>
      <c r="D88" s="176"/>
      <c r="E88" s="189"/>
      <c r="G88" s="178"/>
      <c r="H88" s="176"/>
      <c r="I88" s="177"/>
      <c r="J88" s="190"/>
      <c r="K88" s="177"/>
      <c r="L88" s="190"/>
    </row>
    <row r="89" spans="1:12" s="183" customFormat="1" x14ac:dyDescent="0.2">
      <c r="A89" s="185"/>
      <c r="B89" s="180" t="s">
        <v>69</v>
      </c>
      <c r="C89" s="179">
        <v>4</v>
      </c>
      <c r="D89" s="176" t="s">
        <v>41</v>
      </c>
      <c r="E89" s="189">
        <v>1.5</v>
      </c>
      <c r="F89" s="183" t="s">
        <v>41</v>
      </c>
      <c r="G89" s="187">
        <v>0.23</v>
      </c>
      <c r="H89" s="183" t="s">
        <v>41</v>
      </c>
      <c r="I89" s="189">
        <v>2.1</v>
      </c>
      <c r="J89" s="224" t="s">
        <v>42</v>
      </c>
      <c r="K89" s="189">
        <f>IF(C89,C89*E89*G89*I89,"")</f>
        <v>2.8980000000000006</v>
      </c>
      <c r="L89" s="188" t="s">
        <v>20</v>
      </c>
    </row>
    <row r="90" spans="1:12" s="183" customFormat="1" x14ac:dyDescent="0.2">
      <c r="A90" s="185"/>
      <c r="B90" s="180" t="s">
        <v>70</v>
      </c>
      <c r="C90" s="179">
        <v>8</v>
      </c>
      <c r="D90" s="176" t="s">
        <v>41</v>
      </c>
      <c r="E90" s="189">
        <v>1.8</v>
      </c>
      <c r="F90" s="183" t="s">
        <v>41</v>
      </c>
      <c r="G90" s="187">
        <v>0.23</v>
      </c>
      <c r="H90" s="183" t="s">
        <v>41</v>
      </c>
      <c r="I90" s="189">
        <v>1.2</v>
      </c>
      <c r="J90" s="224" t="s">
        <v>42</v>
      </c>
      <c r="K90" s="189">
        <f>IF(C90,C90*E90*G90*I90,"")</f>
        <v>3.9744000000000002</v>
      </c>
      <c r="L90" s="188" t="s">
        <v>20</v>
      </c>
    </row>
    <row r="91" spans="1:12" s="183" customFormat="1" x14ac:dyDescent="0.2">
      <c r="A91" s="185"/>
      <c r="B91" s="235" t="s">
        <v>48</v>
      </c>
      <c r="C91" s="179">
        <v>1</v>
      </c>
      <c r="D91" s="176" t="s">
        <v>41</v>
      </c>
      <c r="E91" s="189">
        <f>E85</f>
        <v>42</v>
      </c>
      <c r="F91" s="183" t="s">
        <v>41</v>
      </c>
      <c r="G91" s="187">
        <v>0.23</v>
      </c>
      <c r="H91" s="183" t="s">
        <v>41</v>
      </c>
      <c r="I91" s="189">
        <v>0.23</v>
      </c>
      <c r="J91" s="224" t="s">
        <v>42</v>
      </c>
      <c r="K91" s="189">
        <f>IF(C91,C91*E91*G91*I91,"")</f>
        <v>2.2218</v>
      </c>
      <c r="L91" s="188" t="s">
        <v>20</v>
      </c>
    </row>
    <row r="92" spans="1:12" s="183" customFormat="1" x14ac:dyDescent="0.2">
      <c r="A92" s="185"/>
      <c r="B92" s="180"/>
      <c r="C92" s="179"/>
      <c r="D92" s="176"/>
      <c r="E92" s="209"/>
      <c r="F92" s="210"/>
      <c r="G92" s="197" t="s">
        <v>49</v>
      </c>
      <c r="H92" s="210"/>
      <c r="I92" s="209"/>
      <c r="J92" s="194" t="s">
        <v>44</v>
      </c>
      <c r="K92" s="209">
        <f>SUM(K90:K91)</f>
        <v>6.1962000000000002</v>
      </c>
      <c r="L92" s="188" t="s">
        <v>20</v>
      </c>
    </row>
    <row r="93" spans="1:12" s="183" customFormat="1" ht="15" x14ac:dyDescent="0.2">
      <c r="A93" s="179"/>
      <c r="B93" s="193" t="s">
        <v>104</v>
      </c>
      <c r="C93" s="179"/>
      <c r="D93" s="232"/>
      <c r="E93" s="199">
        <f>K87</f>
        <v>36.6252</v>
      </c>
      <c r="F93" s="188" t="s">
        <v>44</v>
      </c>
      <c r="G93" s="199">
        <f>K92</f>
        <v>6.1962000000000002</v>
      </c>
      <c r="H93" s="223"/>
      <c r="J93" s="230" t="s">
        <v>42</v>
      </c>
      <c r="K93" s="220">
        <f>E93-G93</f>
        <v>30.428999999999998</v>
      </c>
      <c r="L93" s="188" t="s">
        <v>20</v>
      </c>
    </row>
    <row r="94" spans="1:12" s="183" customFormat="1" x14ac:dyDescent="0.2">
      <c r="A94" s="185"/>
      <c r="B94" s="180"/>
      <c r="C94" s="179"/>
      <c r="D94" s="176"/>
      <c r="E94" s="189"/>
      <c r="G94" s="178"/>
      <c r="H94" s="176"/>
      <c r="I94" s="177"/>
      <c r="J94" s="176"/>
      <c r="K94" s="177"/>
      <c r="L94" s="190"/>
    </row>
    <row r="95" spans="1:12" s="183" customFormat="1" ht="42.75" x14ac:dyDescent="0.2">
      <c r="A95" s="185">
        <v>9</v>
      </c>
      <c r="B95" s="193" t="s">
        <v>67</v>
      </c>
      <c r="C95" s="192"/>
      <c r="D95" s="176"/>
      <c r="E95" s="189"/>
      <c r="F95" s="188"/>
      <c r="G95" s="187"/>
    </row>
    <row r="96" spans="1:12" s="183" customFormat="1" ht="15" x14ac:dyDescent="0.2">
      <c r="A96" s="185"/>
      <c r="B96" s="236" t="s">
        <v>71</v>
      </c>
      <c r="C96" s="192"/>
      <c r="D96" s="176"/>
      <c r="E96" s="189"/>
      <c r="F96" s="188"/>
      <c r="G96" s="187"/>
    </row>
    <row r="97" spans="1:12" s="183" customFormat="1" x14ac:dyDescent="0.2">
      <c r="A97" s="185"/>
      <c r="B97" s="226" t="s">
        <v>73</v>
      </c>
      <c r="C97" s="179">
        <v>2</v>
      </c>
      <c r="D97" s="176" t="s">
        <v>41</v>
      </c>
      <c r="E97" s="189">
        <f>E9</f>
        <v>6</v>
      </c>
      <c r="F97" s="183" t="s">
        <v>41</v>
      </c>
      <c r="G97" s="189">
        <v>3</v>
      </c>
      <c r="I97" s="189"/>
      <c r="J97" s="224" t="s">
        <v>42</v>
      </c>
      <c r="K97" s="189">
        <f>IF(C97,C97*E97*G97,"")</f>
        <v>36</v>
      </c>
      <c r="L97" s="201" t="s">
        <v>22</v>
      </c>
    </row>
    <row r="98" spans="1:12" s="183" customFormat="1" x14ac:dyDescent="0.2">
      <c r="A98" s="185"/>
      <c r="B98" s="226" t="s">
        <v>73</v>
      </c>
      <c r="C98" s="179">
        <v>2</v>
      </c>
      <c r="D98" s="176" t="s">
        <v>41</v>
      </c>
      <c r="E98" s="189">
        <f>E10</f>
        <v>15</v>
      </c>
      <c r="F98" s="183" t="s">
        <v>41</v>
      </c>
      <c r="G98" s="189">
        <v>3</v>
      </c>
      <c r="I98" s="189"/>
      <c r="J98" s="224" t="s">
        <v>42</v>
      </c>
      <c r="K98" s="189">
        <f>IF(C98,C98*E98*G98,"")</f>
        <v>90</v>
      </c>
      <c r="L98" s="201" t="s">
        <v>22</v>
      </c>
    </row>
    <row r="99" spans="1:12" s="183" customFormat="1" x14ac:dyDescent="0.2">
      <c r="A99" s="185"/>
      <c r="B99" s="226" t="s">
        <v>73</v>
      </c>
      <c r="C99" s="179">
        <v>4</v>
      </c>
      <c r="D99" s="176" t="s">
        <v>41</v>
      </c>
      <c r="E99" s="189">
        <v>5.54</v>
      </c>
      <c r="F99" s="183" t="s">
        <v>41</v>
      </c>
      <c r="G99" s="189">
        <v>3</v>
      </c>
      <c r="I99" s="189"/>
      <c r="J99" s="224" t="s">
        <v>42</v>
      </c>
      <c r="K99" s="189">
        <f>IF(C99,C99*E99*G99,"")</f>
        <v>66.48</v>
      </c>
      <c r="L99" s="201" t="s">
        <v>22</v>
      </c>
    </row>
    <row r="100" spans="1:12" s="183" customFormat="1" x14ac:dyDescent="0.2">
      <c r="A100" s="185"/>
      <c r="B100" s="180"/>
      <c r="C100" s="179"/>
      <c r="D100" s="176"/>
      <c r="E100" s="209"/>
      <c r="F100" s="210"/>
      <c r="G100" s="197" t="s">
        <v>45</v>
      </c>
      <c r="H100" s="210"/>
      <c r="I100" s="209"/>
      <c r="J100" s="194" t="s">
        <v>46</v>
      </c>
      <c r="K100" s="209">
        <f>SUM(K97:K99)</f>
        <v>192.48000000000002</v>
      </c>
      <c r="L100" s="208" t="s">
        <v>22</v>
      </c>
    </row>
    <row r="101" spans="1:12" s="183" customFormat="1" ht="15" x14ac:dyDescent="0.2">
      <c r="A101" s="185"/>
      <c r="B101" s="236" t="s">
        <v>47</v>
      </c>
      <c r="C101" s="179"/>
      <c r="D101" s="176"/>
      <c r="E101" s="189"/>
      <c r="G101" s="178"/>
      <c r="H101" s="176"/>
      <c r="I101" s="177"/>
      <c r="J101" s="190"/>
      <c r="K101" s="177"/>
      <c r="L101" s="201"/>
    </row>
    <row r="102" spans="1:12" s="183" customFormat="1" x14ac:dyDescent="0.2">
      <c r="A102" s="185"/>
      <c r="B102" s="226" t="s">
        <v>69</v>
      </c>
      <c r="C102" s="179">
        <v>3</v>
      </c>
      <c r="D102" s="176" t="s">
        <v>41</v>
      </c>
      <c r="E102" s="189">
        <v>1.2</v>
      </c>
      <c r="F102" s="183" t="s">
        <v>41</v>
      </c>
      <c r="G102" s="189">
        <v>2.1</v>
      </c>
      <c r="I102" s="189"/>
      <c r="J102" s="224" t="s">
        <v>42</v>
      </c>
      <c r="K102" s="189">
        <f>IF(C102,C102*E102*G102,"")</f>
        <v>7.56</v>
      </c>
      <c r="L102" s="201" t="s">
        <v>22</v>
      </c>
    </row>
    <row r="103" spans="1:12" s="183" customFormat="1" x14ac:dyDescent="0.2">
      <c r="A103" s="185"/>
      <c r="B103" s="226" t="s">
        <v>70</v>
      </c>
      <c r="C103" s="179">
        <v>9</v>
      </c>
      <c r="D103" s="176" t="s">
        <v>41</v>
      </c>
      <c r="E103" s="189">
        <v>1.5</v>
      </c>
      <c r="F103" s="183" t="s">
        <v>41</v>
      </c>
      <c r="G103" s="189">
        <v>1.2</v>
      </c>
      <c r="I103" s="189"/>
      <c r="J103" s="224" t="s">
        <v>42</v>
      </c>
      <c r="K103" s="189">
        <f>IF(C103,C103*E103*G103,"")</f>
        <v>16.2</v>
      </c>
      <c r="L103" s="201" t="s">
        <v>22</v>
      </c>
    </row>
    <row r="104" spans="1:12" s="183" customFormat="1" x14ac:dyDescent="0.2">
      <c r="A104" s="185"/>
      <c r="B104" s="180"/>
      <c r="C104" s="179"/>
      <c r="D104" s="176"/>
      <c r="E104" s="209"/>
      <c r="F104" s="210"/>
      <c r="G104" s="197" t="s">
        <v>49</v>
      </c>
      <c r="H104" s="210"/>
      <c r="I104" s="209"/>
      <c r="J104" s="194" t="s">
        <v>44</v>
      </c>
      <c r="K104" s="209">
        <f>SUM(K102:K103)</f>
        <v>23.759999999999998</v>
      </c>
      <c r="L104" s="208" t="s">
        <v>22</v>
      </c>
    </row>
    <row r="105" spans="1:12" s="183" customFormat="1" ht="15" x14ac:dyDescent="0.2">
      <c r="A105" s="179"/>
      <c r="B105" s="193" t="s">
        <v>101</v>
      </c>
      <c r="C105" s="179"/>
      <c r="D105" s="232">
        <f>K100</f>
        <v>192.48000000000002</v>
      </c>
      <c r="E105" s="199"/>
      <c r="F105" s="188" t="s">
        <v>44</v>
      </c>
      <c r="G105" s="199">
        <f>K104</f>
        <v>23.759999999999998</v>
      </c>
      <c r="H105" s="223"/>
      <c r="J105" s="230" t="s">
        <v>42</v>
      </c>
      <c r="K105" s="220">
        <f>D105-G105</f>
        <v>168.72000000000003</v>
      </c>
      <c r="L105" s="201" t="s">
        <v>22</v>
      </c>
    </row>
    <row r="106" spans="1:12" s="183" customFormat="1" x14ac:dyDescent="0.2">
      <c r="A106" s="185"/>
      <c r="B106" s="235" t="s">
        <v>50</v>
      </c>
      <c r="C106" s="192"/>
      <c r="D106" s="176"/>
      <c r="E106" s="189"/>
      <c r="F106" s="188"/>
      <c r="G106" s="187"/>
    </row>
    <row r="107" spans="1:12" s="183" customFormat="1" x14ac:dyDescent="0.2">
      <c r="A107" s="185"/>
      <c r="B107" s="180"/>
      <c r="C107" s="179">
        <v>2</v>
      </c>
      <c r="D107" s="176" t="s">
        <v>41</v>
      </c>
      <c r="E107" s="189">
        <f>E97</f>
        <v>6</v>
      </c>
      <c r="F107" s="183" t="s">
        <v>41</v>
      </c>
      <c r="G107" s="189">
        <v>3.9</v>
      </c>
      <c r="I107" s="189"/>
      <c r="J107" s="224" t="s">
        <v>42</v>
      </c>
      <c r="K107" s="189">
        <f>IF(C107,C107*E107*G107,"")</f>
        <v>46.8</v>
      </c>
      <c r="L107" s="201" t="s">
        <v>22</v>
      </c>
    </row>
    <row r="108" spans="1:12" s="183" customFormat="1" x14ac:dyDescent="0.2">
      <c r="A108" s="185"/>
      <c r="B108" s="180"/>
      <c r="C108" s="179">
        <v>2</v>
      </c>
      <c r="D108" s="176" t="s">
        <v>41</v>
      </c>
      <c r="E108" s="189">
        <f>E98</f>
        <v>15</v>
      </c>
      <c r="F108" s="183" t="s">
        <v>41</v>
      </c>
      <c r="G108" s="189">
        <v>3.9</v>
      </c>
      <c r="I108" s="189"/>
      <c r="J108" s="224" t="s">
        <v>42</v>
      </c>
      <c r="K108" s="189">
        <f>IF(C108,C108*E108*G108,"")</f>
        <v>117</v>
      </c>
      <c r="L108" s="201" t="s">
        <v>22</v>
      </c>
    </row>
    <row r="109" spans="1:12" s="183" customFormat="1" x14ac:dyDescent="0.2">
      <c r="A109" s="185"/>
      <c r="B109" s="180"/>
      <c r="C109" s="179"/>
      <c r="D109" s="176"/>
      <c r="E109" s="209"/>
      <c r="F109" s="234" t="s">
        <v>76</v>
      </c>
      <c r="G109" s="197"/>
      <c r="H109" s="210"/>
      <c r="I109" s="209"/>
      <c r="J109" s="194" t="s">
        <v>75</v>
      </c>
      <c r="K109" s="209">
        <f>SUM(K107:K108)</f>
        <v>163.80000000000001</v>
      </c>
      <c r="L109" s="208" t="s">
        <v>22</v>
      </c>
    </row>
    <row r="110" spans="1:12" s="183" customFormat="1" ht="15" x14ac:dyDescent="0.2">
      <c r="A110" s="179"/>
      <c r="B110" s="193" t="s">
        <v>74</v>
      </c>
      <c r="C110" s="179"/>
      <c r="D110" s="232">
        <f>K109</f>
        <v>163.80000000000001</v>
      </c>
      <c r="E110" s="199"/>
      <c r="F110" s="188" t="s">
        <v>44</v>
      </c>
      <c r="G110" s="199">
        <v>0</v>
      </c>
      <c r="H110" s="223"/>
      <c r="J110" s="230" t="s">
        <v>42</v>
      </c>
      <c r="K110" s="220">
        <f>D110-G110</f>
        <v>163.80000000000001</v>
      </c>
      <c r="L110" s="201" t="s">
        <v>22</v>
      </c>
    </row>
    <row r="111" spans="1:12" s="183" customFormat="1" x14ac:dyDescent="0.2">
      <c r="A111" s="185"/>
      <c r="B111" s="180"/>
      <c r="C111" s="179"/>
      <c r="D111" s="176"/>
      <c r="E111" s="189"/>
      <c r="F111" s="233"/>
      <c r="G111" s="178"/>
      <c r="H111" s="176"/>
      <c r="I111" s="177"/>
      <c r="J111" s="190"/>
      <c r="K111" s="177"/>
      <c r="L111" s="201"/>
    </row>
    <row r="112" spans="1:12" s="183" customFormat="1" ht="15" x14ac:dyDescent="0.2">
      <c r="A112" s="179"/>
      <c r="B112" s="193" t="s">
        <v>51</v>
      </c>
      <c r="C112" s="179"/>
      <c r="D112" s="232"/>
      <c r="E112" s="199">
        <f>K105</f>
        <v>168.72000000000003</v>
      </c>
      <c r="F112" s="188" t="s">
        <v>46</v>
      </c>
      <c r="G112" s="199">
        <f>K110</f>
        <v>163.80000000000001</v>
      </c>
      <c r="H112" s="223"/>
      <c r="J112" s="230" t="s">
        <v>42</v>
      </c>
      <c r="K112" s="220">
        <f>E112+G112</f>
        <v>332.52000000000004</v>
      </c>
      <c r="L112" s="201" t="s">
        <v>22</v>
      </c>
    </row>
    <row r="113" spans="1:12" s="183" customFormat="1" ht="15" x14ac:dyDescent="0.2">
      <c r="A113" s="185"/>
      <c r="B113" s="180"/>
      <c r="C113" s="192"/>
      <c r="D113" s="200"/>
      <c r="E113" s="223"/>
      <c r="G113" s="220"/>
      <c r="H113" s="231"/>
      <c r="I113" s="220"/>
      <c r="J113" s="230"/>
      <c r="K113" s="220"/>
      <c r="L113" s="221"/>
    </row>
    <row r="114" spans="1:12" s="145" customFormat="1" ht="30" x14ac:dyDescent="0.2">
      <c r="A114" s="241">
        <f>LOOKUP(2,1/(A$1:A113&lt;&gt;""),A$1:A113)+1</f>
        <v>10</v>
      </c>
      <c r="B114" s="259" t="s">
        <v>121</v>
      </c>
      <c r="C114" s="192"/>
      <c r="D114" s="176"/>
      <c r="E114" s="189"/>
      <c r="F114" s="188"/>
      <c r="G114" s="187"/>
      <c r="H114" s="183"/>
      <c r="I114" s="183"/>
      <c r="J114" s="183"/>
      <c r="K114" s="183"/>
      <c r="L114" s="183"/>
    </row>
    <row r="115" spans="1:12" s="183" customFormat="1" x14ac:dyDescent="0.2">
      <c r="A115" s="179"/>
      <c r="B115" s="229" t="s">
        <v>147</v>
      </c>
      <c r="C115" s="179">
        <v>1</v>
      </c>
      <c r="D115" s="176" t="s">
        <v>41</v>
      </c>
      <c r="E115" s="189">
        <f>E107</f>
        <v>6</v>
      </c>
      <c r="F115" s="183" t="s">
        <v>41</v>
      </c>
      <c r="G115" s="189">
        <f>E108</f>
        <v>15</v>
      </c>
      <c r="J115" s="224" t="s">
        <v>42</v>
      </c>
      <c r="K115" s="189">
        <f>IF(C115,C115*E115*G115,"")</f>
        <v>90</v>
      </c>
      <c r="L115" s="201" t="s">
        <v>22</v>
      </c>
    </row>
    <row r="116" spans="1:12" s="183" customFormat="1" ht="15" x14ac:dyDescent="0.2">
      <c r="A116" s="179"/>
      <c r="B116" s="229" t="s">
        <v>148</v>
      </c>
      <c r="C116" s="179">
        <v>1</v>
      </c>
      <c r="D116" s="176" t="s">
        <v>41</v>
      </c>
      <c r="E116" s="189">
        <f>K68</f>
        <v>10.8</v>
      </c>
      <c r="F116" s="183" t="s">
        <v>41</v>
      </c>
      <c r="G116" s="220">
        <v>1</v>
      </c>
      <c r="J116" s="224" t="s">
        <v>42</v>
      </c>
      <c r="K116" s="189">
        <f>IF(C116,C116*E116*G116,"")</f>
        <v>10.8</v>
      </c>
      <c r="L116" s="201" t="s">
        <v>22</v>
      </c>
    </row>
    <row r="117" spans="1:12" s="183" customFormat="1" ht="15" x14ac:dyDescent="0.2">
      <c r="A117" s="185"/>
      <c r="B117" s="180"/>
      <c r="C117" s="179"/>
      <c r="D117" s="176"/>
      <c r="E117" s="220"/>
      <c r="F117" s="213"/>
      <c r="G117" s="214" t="s">
        <v>31</v>
      </c>
      <c r="H117" s="213"/>
      <c r="I117" s="195"/>
      <c r="J117" s="213"/>
      <c r="K117" s="195">
        <f>SUM(K115:K116)</f>
        <v>100.8</v>
      </c>
      <c r="L117" s="228" t="s">
        <v>22</v>
      </c>
    </row>
    <row r="118" spans="1:12" s="145" customFormat="1" ht="30" x14ac:dyDescent="0.2">
      <c r="A118" s="241">
        <f>LOOKUP(2,1/(A$1:A117&lt;&gt;""),A$1:A117)+1</f>
        <v>11</v>
      </c>
      <c r="B118" s="259" t="s">
        <v>120</v>
      </c>
      <c r="C118" s="192"/>
      <c r="D118" s="176"/>
      <c r="E118" s="189"/>
      <c r="F118" s="188"/>
      <c r="G118" s="187"/>
      <c r="H118" s="183"/>
      <c r="I118" s="183"/>
      <c r="J118" s="183"/>
      <c r="K118" s="183"/>
      <c r="L118" s="183"/>
    </row>
    <row r="119" spans="1:12" s="183" customFormat="1" x14ac:dyDescent="0.2">
      <c r="A119" s="179"/>
      <c r="B119" s="229" t="s">
        <v>132</v>
      </c>
      <c r="C119" s="179">
        <v>16</v>
      </c>
      <c r="D119" s="176" t="s">
        <v>41</v>
      </c>
      <c r="E119" s="189">
        <v>3</v>
      </c>
      <c r="G119" s="189"/>
      <c r="J119" s="224" t="s">
        <v>42</v>
      </c>
      <c r="K119" s="189">
        <f>IF(C119,C119*E119,"")</f>
        <v>48</v>
      </c>
      <c r="L119" s="201" t="s">
        <v>29</v>
      </c>
    </row>
    <row r="120" spans="1:12" s="183" customFormat="1" x14ac:dyDescent="0.2">
      <c r="A120" s="179"/>
      <c r="B120" s="229" t="s">
        <v>149</v>
      </c>
      <c r="C120" s="179">
        <v>3</v>
      </c>
      <c r="D120" s="176" t="s">
        <v>41</v>
      </c>
      <c r="E120" s="189">
        <f>K11</f>
        <v>42</v>
      </c>
      <c r="G120" s="189"/>
      <c r="J120" s="224" t="s">
        <v>42</v>
      </c>
      <c r="K120" s="189">
        <f>IF(C120,C120*E120,"")</f>
        <v>126</v>
      </c>
      <c r="L120" s="201" t="s">
        <v>29</v>
      </c>
    </row>
    <row r="121" spans="1:12" s="183" customFormat="1" ht="15" x14ac:dyDescent="0.2">
      <c r="A121" s="185"/>
      <c r="B121" s="180"/>
      <c r="C121" s="179"/>
      <c r="D121" s="176"/>
      <c r="E121" s="220"/>
      <c r="F121" s="213"/>
      <c r="G121" s="214" t="s">
        <v>31</v>
      </c>
      <c r="H121" s="213"/>
      <c r="I121" s="195"/>
      <c r="J121" s="213"/>
      <c r="K121" s="195">
        <f>SUM(K119:K120)</f>
        <v>174</v>
      </c>
      <c r="L121" s="201" t="s">
        <v>29</v>
      </c>
    </row>
    <row r="122" spans="1:12" s="145" customFormat="1" ht="45" x14ac:dyDescent="0.2">
      <c r="A122" s="241">
        <f>LOOKUP(2,1/(A$1:A121&lt;&gt;""),A$1:A121)+1</f>
        <v>12</v>
      </c>
      <c r="B122" s="259" t="s">
        <v>119</v>
      </c>
      <c r="C122" s="192"/>
      <c r="D122" s="176"/>
      <c r="E122" s="189"/>
      <c r="F122" s="188"/>
      <c r="G122" s="187"/>
      <c r="H122" s="183"/>
      <c r="I122" s="183"/>
      <c r="J122" s="183"/>
      <c r="K122" s="183"/>
      <c r="L122" s="183"/>
    </row>
    <row r="123" spans="1:12" s="183" customFormat="1" ht="15" x14ac:dyDescent="0.2">
      <c r="A123" s="179"/>
      <c r="B123" s="229" t="s">
        <v>150</v>
      </c>
      <c r="C123" s="179">
        <v>1</v>
      </c>
      <c r="D123" s="176" t="s">
        <v>41</v>
      </c>
      <c r="E123" s="189">
        <f>K105</f>
        <v>168.72000000000003</v>
      </c>
      <c r="F123" s="183" t="s">
        <v>41</v>
      </c>
      <c r="G123" s="220">
        <v>1</v>
      </c>
      <c r="J123" s="224" t="s">
        <v>42</v>
      </c>
      <c r="K123" s="189">
        <f>K105</f>
        <v>168.72000000000003</v>
      </c>
      <c r="L123" s="201" t="s">
        <v>22</v>
      </c>
    </row>
    <row r="124" spans="1:12" s="183" customFormat="1" ht="15" x14ac:dyDescent="0.2">
      <c r="A124" s="185"/>
      <c r="B124" s="180"/>
      <c r="C124" s="179"/>
      <c r="D124" s="176"/>
      <c r="E124" s="220"/>
      <c r="F124" s="213"/>
      <c r="G124" s="214" t="s">
        <v>31</v>
      </c>
      <c r="H124" s="213"/>
      <c r="I124" s="195"/>
      <c r="J124" s="213"/>
      <c r="K124" s="195">
        <f>SUM(K122:K123)</f>
        <v>168.72000000000003</v>
      </c>
      <c r="L124" s="228" t="s">
        <v>22</v>
      </c>
    </row>
    <row r="125" spans="1:12" s="183" customFormat="1" ht="199.5" x14ac:dyDescent="0.2">
      <c r="A125" s="179">
        <v>10</v>
      </c>
      <c r="B125" s="180" t="s">
        <v>107</v>
      </c>
      <c r="C125" s="192"/>
      <c r="D125" s="176"/>
      <c r="E125" s="189"/>
      <c r="F125" s="188"/>
      <c r="G125" s="187"/>
    </row>
    <row r="126" spans="1:12" s="183" customFormat="1" x14ac:dyDescent="0.2">
      <c r="A126" s="185"/>
      <c r="B126" s="180" t="s">
        <v>69</v>
      </c>
      <c r="C126" s="179">
        <f>C89</f>
        <v>4</v>
      </c>
      <c r="D126" s="190" t="s">
        <v>54</v>
      </c>
      <c r="E126" s="189">
        <v>1.8</v>
      </c>
      <c r="F126" s="188" t="s">
        <v>46</v>
      </c>
      <c r="G126" s="187">
        <v>2.15</v>
      </c>
      <c r="H126" s="188" t="s">
        <v>46</v>
      </c>
      <c r="I126" s="189">
        <v>2.15</v>
      </c>
      <c r="J126" s="188" t="s">
        <v>55</v>
      </c>
      <c r="K126" s="189">
        <f>IF(C126,C126*E126*G126*I126,"")</f>
        <v>33.281999999999996</v>
      </c>
      <c r="L126" s="201" t="s">
        <v>29</v>
      </c>
    </row>
    <row r="127" spans="1:12" s="183" customFormat="1" x14ac:dyDescent="0.2">
      <c r="A127" s="185"/>
      <c r="B127" s="180"/>
      <c r="C127" s="179"/>
      <c r="D127" s="176"/>
      <c r="E127" s="189"/>
      <c r="G127" s="197" t="s">
        <v>43</v>
      </c>
      <c r="H127" s="210"/>
      <c r="I127" s="209"/>
      <c r="J127" s="210"/>
      <c r="K127" s="209">
        <f>SUM(K126:K126)</f>
        <v>33.281999999999996</v>
      </c>
      <c r="L127" s="208" t="s">
        <v>29</v>
      </c>
    </row>
    <row r="128" spans="1:12" s="183" customFormat="1" x14ac:dyDescent="0.2">
      <c r="A128" s="185"/>
      <c r="B128" s="180"/>
      <c r="C128" s="179"/>
      <c r="D128" s="176"/>
      <c r="E128" s="189">
        <f>K127</f>
        <v>33.281999999999996</v>
      </c>
      <c r="F128" s="183" t="s">
        <v>29</v>
      </c>
      <c r="G128" s="178"/>
      <c r="H128" s="186" t="s">
        <v>4</v>
      </c>
      <c r="I128" s="177"/>
      <c r="J128" s="176"/>
      <c r="K128" s="177">
        <f>E128*4.15</f>
        <v>138.12029999999999</v>
      </c>
      <c r="L128" s="201" t="s">
        <v>24</v>
      </c>
    </row>
    <row r="129" spans="1:12" s="183" customFormat="1" ht="270.75" x14ac:dyDescent="0.2">
      <c r="A129" s="179">
        <f>A125+1</f>
        <v>11</v>
      </c>
      <c r="B129" s="180" t="s">
        <v>0</v>
      </c>
      <c r="C129" s="192"/>
      <c r="D129" s="176"/>
      <c r="E129" s="189"/>
      <c r="F129" s="188"/>
      <c r="G129" s="187"/>
    </row>
    <row r="130" spans="1:12" s="183" customFormat="1" x14ac:dyDescent="0.2">
      <c r="A130" s="185"/>
      <c r="B130" s="226" t="s">
        <v>70</v>
      </c>
      <c r="C130" s="179">
        <v>9</v>
      </c>
      <c r="D130" s="176" t="s">
        <v>41</v>
      </c>
      <c r="E130" s="227">
        <f>E90</f>
        <v>1.8</v>
      </c>
      <c r="F130" s="183" t="s">
        <v>41</v>
      </c>
      <c r="G130" s="187">
        <v>1.2</v>
      </c>
      <c r="I130" s="189"/>
      <c r="J130" s="224" t="s">
        <v>42</v>
      </c>
      <c r="K130" s="189">
        <f>IF(C130,C130*E130*G130,"")</f>
        <v>19.439999999999998</v>
      </c>
      <c r="L130" s="201" t="s">
        <v>22</v>
      </c>
    </row>
    <row r="131" spans="1:12" s="183" customFormat="1" x14ac:dyDescent="0.2">
      <c r="A131" s="185"/>
      <c r="B131" s="180"/>
      <c r="C131" s="179"/>
      <c r="D131" s="176"/>
      <c r="E131" s="189"/>
      <c r="G131" s="197" t="s">
        <v>43</v>
      </c>
      <c r="H131" s="210"/>
      <c r="I131" s="209"/>
      <c r="J131" s="210"/>
      <c r="K131" s="209">
        <f>SUM(K130:K130)</f>
        <v>19.439999999999998</v>
      </c>
      <c r="L131" s="208" t="s">
        <v>22</v>
      </c>
    </row>
    <row r="132" spans="1:12" s="183" customFormat="1" x14ac:dyDescent="0.2">
      <c r="A132" s="179"/>
      <c r="B132" s="193"/>
      <c r="C132" s="192"/>
      <c r="D132" s="176"/>
      <c r="E132" s="189"/>
      <c r="F132" s="188"/>
      <c r="G132" s="187"/>
    </row>
    <row r="133" spans="1:12" s="183" customFormat="1" ht="28.5" x14ac:dyDescent="0.2">
      <c r="A133" s="179">
        <f>A129+1</f>
        <v>12</v>
      </c>
      <c r="B133" s="180" t="s">
        <v>26</v>
      </c>
      <c r="C133" s="192"/>
      <c r="D133" s="176"/>
      <c r="E133" s="189"/>
      <c r="F133" s="188"/>
      <c r="G133" s="187"/>
    </row>
    <row r="134" spans="1:12" s="183" customFormat="1" x14ac:dyDescent="0.2">
      <c r="A134" s="185"/>
      <c r="B134" s="226" t="s">
        <v>70</v>
      </c>
      <c r="C134" s="179">
        <f>C130</f>
        <v>9</v>
      </c>
      <c r="D134" s="176" t="s">
        <v>41</v>
      </c>
      <c r="E134" s="189">
        <v>1.8</v>
      </c>
      <c r="F134" s="183" t="s">
        <v>41</v>
      </c>
      <c r="G134" s="225">
        <v>10</v>
      </c>
      <c r="H134" s="188" t="s">
        <v>56</v>
      </c>
      <c r="I134" s="189">
        <v>1.1299999999999999</v>
      </c>
      <c r="J134" s="224" t="s">
        <v>42</v>
      </c>
      <c r="K134" s="189">
        <f>C134*E134*G134*I134</f>
        <v>183.05999999999997</v>
      </c>
      <c r="L134" s="201" t="s">
        <v>24</v>
      </c>
    </row>
    <row r="135" spans="1:12" s="183" customFormat="1" ht="15" x14ac:dyDescent="0.2">
      <c r="A135" s="185"/>
      <c r="B135" s="180"/>
      <c r="C135" s="179"/>
      <c r="D135" s="176"/>
      <c r="E135" s="189"/>
      <c r="G135" s="197" t="s">
        <v>43</v>
      </c>
      <c r="H135" s="210"/>
      <c r="I135" s="209"/>
      <c r="J135" s="210"/>
      <c r="K135" s="195">
        <f>SUM(K134:K134)</f>
        <v>183.05999999999997</v>
      </c>
      <c r="L135" s="208" t="s">
        <v>24</v>
      </c>
    </row>
    <row r="136" spans="1:12" s="183" customFormat="1" x14ac:dyDescent="0.2">
      <c r="A136" s="179"/>
      <c r="B136" s="180"/>
      <c r="C136" s="192"/>
      <c r="D136" s="176"/>
      <c r="E136" s="189"/>
      <c r="F136" s="188"/>
      <c r="G136" s="187"/>
    </row>
    <row r="137" spans="1:12" s="183" customFormat="1" ht="71.25" x14ac:dyDescent="0.2">
      <c r="A137" s="179">
        <f>A133+1</f>
        <v>13</v>
      </c>
      <c r="B137" s="180" t="s">
        <v>27</v>
      </c>
      <c r="C137" s="192"/>
      <c r="D137" s="176"/>
      <c r="E137" s="189"/>
      <c r="F137" s="188"/>
      <c r="G137" s="187"/>
    </row>
    <row r="138" spans="1:12" s="183" customFormat="1" ht="15" x14ac:dyDescent="0.2">
      <c r="A138" s="185"/>
      <c r="B138" s="193" t="s">
        <v>77</v>
      </c>
      <c r="C138" s="192">
        <f>K131</f>
        <v>19.439999999999998</v>
      </c>
      <c r="D138" s="200"/>
      <c r="E138" s="223"/>
      <c r="F138" s="183" t="s">
        <v>41</v>
      </c>
      <c r="G138" s="222">
        <v>0.1</v>
      </c>
      <c r="H138" s="222"/>
      <c r="I138" s="220"/>
      <c r="J138" s="221"/>
      <c r="K138" s="220">
        <f>C138*G138</f>
        <v>1.944</v>
      </c>
      <c r="L138" s="201" t="s">
        <v>22</v>
      </c>
    </row>
    <row r="139" spans="1:12" s="183" customFormat="1" ht="99.75" x14ac:dyDescent="0.2">
      <c r="A139" s="179">
        <v>14</v>
      </c>
      <c r="B139" s="211" t="s">
        <v>89</v>
      </c>
      <c r="C139" s="192"/>
      <c r="D139" s="176"/>
      <c r="E139" s="189"/>
      <c r="F139" s="188"/>
      <c r="G139" s="187"/>
    </row>
    <row r="140" spans="1:12" s="183" customFormat="1" x14ac:dyDescent="0.2">
      <c r="A140" s="179"/>
      <c r="B140" s="211"/>
      <c r="C140" s="192">
        <v>1</v>
      </c>
      <c r="D140" s="176" t="s">
        <v>41</v>
      </c>
      <c r="E140" s="189">
        <f>E9</f>
        <v>6</v>
      </c>
      <c r="F140" s="188" t="s">
        <v>41</v>
      </c>
      <c r="G140" s="187">
        <f>G115</f>
        <v>15</v>
      </c>
      <c r="J140" s="183" t="s">
        <v>42</v>
      </c>
      <c r="K140" s="189">
        <f>C140*E140*G140</f>
        <v>90</v>
      </c>
      <c r="L140" s="183" t="s">
        <v>22</v>
      </c>
    </row>
    <row r="141" spans="1:12" s="183" customFormat="1" ht="15" x14ac:dyDescent="0.2">
      <c r="A141" s="185"/>
      <c r="B141" s="180"/>
      <c r="C141" s="179"/>
      <c r="D141" s="176"/>
      <c r="E141" s="189"/>
      <c r="G141" s="197" t="s">
        <v>43</v>
      </c>
      <c r="H141" s="210"/>
      <c r="I141" s="209"/>
      <c r="J141" s="210"/>
      <c r="K141" s="195">
        <f>SUM(K140)</f>
        <v>90</v>
      </c>
      <c r="L141" s="201" t="s">
        <v>22</v>
      </c>
    </row>
    <row r="142" spans="1:12" s="183" customFormat="1" x14ac:dyDescent="0.2">
      <c r="A142" s="179"/>
      <c r="B142" s="180"/>
      <c r="C142" s="192"/>
      <c r="D142" s="176"/>
      <c r="E142" s="189"/>
      <c r="F142" s="188"/>
      <c r="G142" s="187"/>
    </row>
    <row r="143" spans="1:12" s="183" customFormat="1" ht="28.5" x14ac:dyDescent="0.2">
      <c r="A143" s="179">
        <v>15</v>
      </c>
      <c r="B143" s="193" t="e">
        <f>FF_ABS!#REF!</f>
        <v>#REF!</v>
      </c>
      <c r="C143" s="179"/>
      <c r="D143" s="219"/>
      <c r="E143" s="189"/>
      <c r="G143" s="187"/>
    </row>
    <row r="144" spans="1:12" s="183" customFormat="1" ht="15" x14ac:dyDescent="0.2">
      <c r="A144" s="179"/>
      <c r="B144" s="218"/>
      <c r="C144" s="179">
        <v>1</v>
      </c>
      <c r="D144" s="176" t="s">
        <v>41</v>
      </c>
      <c r="E144" s="217">
        <f>E9-1</f>
        <v>5</v>
      </c>
      <c r="F144" s="177" t="s">
        <v>41</v>
      </c>
      <c r="G144" s="217">
        <f>E10-1</f>
        <v>14</v>
      </c>
      <c r="H144" s="216" t="s">
        <v>41</v>
      </c>
      <c r="I144" s="178">
        <v>0.25</v>
      </c>
      <c r="J144" s="215" t="s">
        <v>42</v>
      </c>
      <c r="K144" s="178">
        <f>IF(C144,C144*E144*G144*I144,"")</f>
        <v>17.5</v>
      </c>
      <c r="L144" s="190" t="s">
        <v>20</v>
      </c>
    </row>
    <row r="145" spans="1:12" s="183" customFormat="1" ht="15" x14ac:dyDescent="0.2">
      <c r="A145" s="185"/>
      <c r="B145" s="180"/>
      <c r="C145" s="179"/>
      <c r="D145" s="176"/>
      <c r="E145" s="195"/>
      <c r="F145" s="213"/>
      <c r="G145" s="214" t="s">
        <v>98</v>
      </c>
      <c r="H145" s="213"/>
      <c r="I145" s="195"/>
      <c r="J145" s="213"/>
      <c r="K145" s="195">
        <f>SUM(K144:K144)</f>
        <v>17.5</v>
      </c>
      <c r="L145" s="212" t="s">
        <v>20</v>
      </c>
    </row>
    <row r="146" spans="1:12" s="183" customFormat="1" ht="171" x14ac:dyDescent="0.2">
      <c r="A146" s="207">
        <v>16</v>
      </c>
      <c r="B146" s="180" t="s">
        <v>7</v>
      </c>
      <c r="C146" s="192"/>
      <c r="D146" s="176"/>
      <c r="E146" s="189"/>
      <c r="F146" s="188"/>
      <c r="G146" s="187"/>
    </row>
    <row r="147" spans="1:12" s="183" customFormat="1" x14ac:dyDescent="0.2">
      <c r="A147" s="185"/>
      <c r="B147" s="180" t="s">
        <v>69</v>
      </c>
      <c r="C147" s="179">
        <f>C126</f>
        <v>4</v>
      </c>
      <c r="D147" s="190" t="s">
        <v>41</v>
      </c>
      <c r="E147" s="189">
        <f>E89</f>
        <v>1.5</v>
      </c>
      <c r="F147" s="188" t="s">
        <v>41</v>
      </c>
      <c r="G147" s="178">
        <v>2.1</v>
      </c>
      <c r="H147" s="176"/>
      <c r="I147" s="177"/>
      <c r="J147" s="186" t="s">
        <v>42</v>
      </c>
      <c r="K147" s="177">
        <f>IF(C147,C147*E147*G147,"")</f>
        <v>12.600000000000001</v>
      </c>
      <c r="L147" s="181" t="s">
        <v>22</v>
      </c>
    </row>
    <row r="148" spans="1:12" s="183" customFormat="1" ht="15" x14ac:dyDescent="0.2">
      <c r="A148" s="185"/>
      <c r="B148" s="180"/>
      <c r="C148" s="179"/>
      <c r="D148" s="176"/>
      <c r="E148" s="189"/>
      <c r="G148" s="197" t="s">
        <v>43</v>
      </c>
      <c r="H148" s="210"/>
      <c r="I148" s="209"/>
      <c r="J148" s="210"/>
      <c r="K148" s="195">
        <f>SUM(K147:K147)</f>
        <v>12.600000000000001</v>
      </c>
      <c r="L148" s="208" t="s">
        <v>22</v>
      </c>
    </row>
    <row r="149" spans="1:12" s="183" customFormat="1" x14ac:dyDescent="0.2">
      <c r="A149" s="179"/>
      <c r="B149" s="211"/>
      <c r="C149" s="192"/>
      <c r="D149" s="176"/>
      <c r="E149" s="189"/>
      <c r="F149" s="188"/>
      <c r="G149" s="187" t="str">
        <f>IF(C149,ROUNDUP(C149*E149,0),"")</f>
        <v/>
      </c>
    </row>
    <row r="150" spans="1:12" s="145" customFormat="1" ht="105" x14ac:dyDescent="0.2">
      <c r="A150" s="241">
        <f>LOOKUP(2,1/(A$1:A149&lt;&gt;""),A$1:A149)+1</f>
        <v>17</v>
      </c>
      <c r="B150" s="259" t="s">
        <v>124</v>
      </c>
      <c r="C150" s="192"/>
      <c r="D150" s="176"/>
      <c r="E150" s="189"/>
      <c r="F150" s="188"/>
      <c r="G150" s="187"/>
      <c r="H150" s="183"/>
      <c r="I150" s="183"/>
      <c r="J150" s="183"/>
      <c r="K150" s="183"/>
      <c r="L150" s="183"/>
    </row>
    <row r="151" spans="1:12" s="183" customFormat="1" x14ac:dyDescent="0.2">
      <c r="A151" s="185"/>
      <c r="B151" s="180" t="s">
        <v>140</v>
      </c>
      <c r="C151" s="179">
        <v>4</v>
      </c>
      <c r="D151" s="190" t="s">
        <v>54</v>
      </c>
      <c r="E151" s="189">
        <v>1.75</v>
      </c>
      <c r="F151" s="188" t="s">
        <v>46</v>
      </c>
      <c r="G151" s="187">
        <v>1.2</v>
      </c>
      <c r="H151" s="188" t="s">
        <v>46</v>
      </c>
      <c r="I151" s="189">
        <v>1.75</v>
      </c>
      <c r="J151" s="188" t="s">
        <v>55</v>
      </c>
      <c r="K151" s="189">
        <f>IF(C151,C151*E151*G151*I151,"")</f>
        <v>14.700000000000001</v>
      </c>
      <c r="L151" s="201" t="s">
        <v>29</v>
      </c>
    </row>
    <row r="152" spans="1:12" s="183" customFormat="1" x14ac:dyDescent="0.2">
      <c r="A152" s="185"/>
      <c r="B152" s="180"/>
      <c r="C152" s="179"/>
      <c r="D152" s="176"/>
      <c r="E152" s="189"/>
      <c r="G152" s="197" t="s">
        <v>43</v>
      </c>
      <c r="H152" s="210"/>
      <c r="I152" s="209"/>
      <c r="J152" s="210"/>
      <c r="K152" s="209">
        <f>SUM(K151:K151)</f>
        <v>14.700000000000001</v>
      </c>
      <c r="L152" s="208" t="s">
        <v>29</v>
      </c>
    </row>
    <row r="153" spans="1:12" s="183" customFormat="1" x14ac:dyDescent="0.2">
      <c r="A153" s="185"/>
      <c r="B153" s="180"/>
      <c r="C153" s="179"/>
      <c r="D153" s="176"/>
      <c r="E153" s="189">
        <f>K152</f>
        <v>14.700000000000001</v>
      </c>
      <c r="F153" s="183" t="s">
        <v>29</v>
      </c>
      <c r="G153" s="178"/>
      <c r="H153" s="186" t="s">
        <v>151</v>
      </c>
      <c r="I153" s="177"/>
      <c r="J153" s="176"/>
      <c r="K153" s="177">
        <f>E153*12</f>
        <v>176.4</v>
      </c>
      <c r="L153" s="201" t="s">
        <v>24</v>
      </c>
    </row>
    <row r="154" spans="1:12" s="145" customFormat="1" ht="409.5" x14ac:dyDescent="0.2">
      <c r="A154" s="241">
        <f>LOOKUP(2,1/(A$1:A153&lt;&gt;""),A$1:A153)+1</f>
        <v>18</v>
      </c>
      <c r="B154" s="259" t="s">
        <v>123</v>
      </c>
      <c r="C154" s="192"/>
      <c r="D154" s="176"/>
      <c r="E154" s="189"/>
      <c r="F154" s="188"/>
      <c r="G154" s="187"/>
      <c r="H154" s="183"/>
      <c r="I154" s="183"/>
      <c r="J154" s="183"/>
      <c r="K154" s="183"/>
      <c r="L154" s="183"/>
    </row>
    <row r="155" spans="1:12" s="183" customFormat="1" x14ac:dyDescent="0.2">
      <c r="A155" s="179"/>
      <c r="B155" s="211"/>
      <c r="C155" s="192">
        <v>2</v>
      </c>
      <c r="D155" s="176" t="s">
        <v>41</v>
      </c>
      <c r="E155" s="189">
        <v>0.9</v>
      </c>
      <c r="F155" s="188" t="s">
        <v>41</v>
      </c>
      <c r="G155" s="187">
        <f>G130</f>
        <v>1.2</v>
      </c>
      <c r="J155" s="183" t="s">
        <v>42</v>
      </c>
      <c r="K155" s="189">
        <f>C155*E155*G155</f>
        <v>2.16</v>
      </c>
      <c r="L155" s="183" t="s">
        <v>22</v>
      </c>
    </row>
    <row r="156" spans="1:12" s="183" customFormat="1" ht="15" x14ac:dyDescent="0.2">
      <c r="A156" s="185"/>
      <c r="B156" s="180"/>
      <c r="C156" s="179"/>
      <c r="D156" s="176"/>
      <c r="E156" s="189"/>
      <c r="G156" s="197" t="s">
        <v>43</v>
      </c>
      <c r="H156" s="210"/>
      <c r="I156" s="209"/>
      <c r="J156" s="210"/>
      <c r="K156" s="195">
        <f>SUM(K155)</f>
        <v>2.16</v>
      </c>
      <c r="L156" s="201" t="s">
        <v>22</v>
      </c>
    </row>
    <row r="157" spans="1:12" s="145" customFormat="1" ht="150" x14ac:dyDescent="0.2">
      <c r="A157" s="241">
        <f>LOOKUP(2,1/(A$1:A156&lt;&gt;""),A$1:A156)+1</f>
        <v>19</v>
      </c>
      <c r="B157" s="259" t="s">
        <v>118</v>
      </c>
      <c r="C157" s="192"/>
      <c r="D157" s="176"/>
      <c r="E157" s="189"/>
      <c r="F157" s="188"/>
      <c r="G157" s="187"/>
      <c r="H157" s="183"/>
      <c r="I157" s="183"/>
      <c r="J157" s="183"/>
      <c r="K157" s="183"/>
      <c r="L157" s="183"/>
    </row>
    <row r="158" spans="1:12" s="183" customFormat="1" x14ac:dyDescent="0.2">
      <c r="A158" s="179"/>
      <c r="B158" s="211" t="s">
        <v>152</v>
      </c>
      <c r="C158" s="192">
        <v>1</v>
      </c>
      <c r="D158" s="176" t="s">
        <v>41</v>
      </c>
      <c r="E158" s="189">
        <f>7</f>
        <v>7</v>
      </c>
      <c r="F158" s="188" t="s">
        <v>41</v>
      </c>
      <c r="G158" s="187">
        <v>2.1</v>
      </c>
      <c r="J158" s="183" t="s">
        <v>42</v>
      </c>
      <c r="K158" s="189">
        <f>C158*E158*G158</f>
        <v>14.700000000000001</v>
      </c>
      <c r="L158" s="183" t="s">
        <v>22</v>
      </c>
    </row>
    <row r="159" spans="1:12" s="183" customFormat="1" x14ac:dyDescent="0.2">
      <c r="A159" s="179"/>
      <c r="B159" s="211"/>
      <c r="C159" s="192">
        <v>1</v>
      </c>
      <c r="D159" s="176" t="s">
        <v>41</v>
      </c>
      <c r="E159" s="189">
        <v>6</v>
      </c>
      <c r="F159" s="188" t="s">
        <v>41</v>
      </c>
      <c r="G159" s="187">
        <v>2.1</v>
      </c>
      <c r="J159" s="183" t="s">
        <v>42</v>
      </c>
      <c r="K159" s="189">
        <f>C159*E159*G159</f>
        <v>12.600000000000001</v>
      </c>
      <c r="L159" s="183" t="s">
        <v>22</v>
      </c>
    </row>
    <row r="160" spans="1:12" s="183" customFormat="1" ht="15" x14ac:dyDescent="0.2">
      <c r="A160" s="185"/>
      <c r="B160" s="180"/>
      <c r="C160" s="179"/>
      <c r="D160" s="176"/>
      <c r="E160" s="189"/>
      <c r="G160" s="197" t="s">
        <v>43</v>
      </c>
      <c r="H160" s="210"/>
      <c r="I160" s="209"/>
      <c r="J160" s="210"/>
      <c r="K160" s="195">
        <f>SUM(K158:K159)</f>
        <v>27.300000000000004</v>
      </c>
      <c r="L160" s="201" t="s">
        <v>22</v>
      </c>
    </row>
    <row r="161" spans="1:12" s="183" customFormat="1" ht="42.75" x14ac:dyDescent="0.2">
      <c r="A161" s="207">
        <v>17</v>
      </c>
      <c r="B161" s="180" t="s">
        <v>8</v>
      </c>
      <c r="C161" s="192"/>
      <c r="D161" s="176"/>
      <c r="E161" s="189"/>
      <c r="F161" s="188"/>
      <c r="G161" s="187"/>
    </row>
    <row r="162" spans="1:12" s="183" customFormat="1" x14ac:dyDescent="0.2">
      <c r="A162" s="179"/>
      <c r="B162" s="180" t="s">
        <v>57</v>
      </c>
      <c r="C162" s="192"/>
      <c r="D162" s="176"/>
      <c r="E162" s="189"/>
      <c r="F162" s="188"/>
      <c r="G162" s="187"/>
      <c r="J162" s="190" t="s">
        <v>42</v>
      </c>
      <c r="K162" s="189">
        <f>K105</f>
        <v>168.72000000000003</v>
      </c>
      <c r="L162" s="183" t="s">
        <v>22</v>
      </c>
    </row>
    <row r="163" spans="1:12" s="183" customFormat="1" x14ac:dyDescent="0.2">
      <c r="A163" s="185"/>
      <c r="B163" s="180"/>
      <c r="C163" s="179"/>
      <c r="D163" s="176"/>
      <c r="E163" s="189"/>
      <c r="G163" s="197" t="s">
        <v>43</v>
      </c>
      <c r="H163" s="210"/>
      <c r="I163" s="209"/>
      <c r="J163" s="210"/>
      <c r="K163" s="209">
        <f>SUM(K162:K162)</f>
        <v>168.72000000000003</v>
      </c>
      <c r="L163" s="208" t="s">
        <v>22</v>
      </c>
    </row>
    <row r="164" spans="1:12" s="183" customFormat="1" x14ac:dyDescent="0.2">
      <c r="A164" s="185"/>
      <c r="B164" s="180"/>
      <c r="C164" s="179"/>
      <c r="D164" s="176"/>
      <c r="E164" s="189"/>
      <c r="G164" s="178"/>
      <c r="H164" s="176"/>
      <c r="I164" s="177"/>
      <c r="J164" s="176"/>
      <c r="K164" s="177"/>
      <c r="L164" s="201"/>
    </row>
    <row r="165" spans="1:12" s="183" customFormat="1" ht="57" x14ac:dyDescent="0.2">
      <c r="A165" s="179">
        <f>A161+1</f>
        <v>18</v>
      </c>
      <c r="B165" s="193" t="s">
        <v>68</v>
      </c>
      <c r="C165" s="192"/>
      <c r="D165" s="176"/>
      <c r="E165" s="189"/>
      <c r="F165" s="188"/>
      <c r="G165" s="187"/>
    </row>
    <row r="166" spans="1:12" s="183" customFormat="1" x14ac:dyDescent="0.2">
      <c r="A166" s="179"/>
      <c r="B166" s="193" t="s">
        <v>58</v>
      </c>
      <c r="C166" s="207">
        <v>1</v>
      </c>
      <c r="D166" s="190" t="s">
        <v>41</v>
      </c>
      <c r="E166" s="199">
        <f>K109</f>
        <v>163.80000000000001</v>
      </c>
      <c r="F166" s="206"/>
      <c r="G166" s="205"/>
      <c r="H166" s="202"/>
      <c r="I166" s="202"/>
      <c r="J166" s="204" t="s">
        <v>42</v>
      </c>
      <c r="K166" s="203">
        <f>K109</f>
        <v>163.80000000000001</v>
      </c>
      <c r="L166" s="202" t="s">
        <v>22</v>
      </c>
    </row>
    <row r="167" spans="1:12" s="183" customFormat="1" x14ac:dyDescent="0.2">
      <c r="A167" s="185"/>
      <c r="B167" s="180"/>
      <c r="C167" s="179"/>
      <c r="D167" s="176"/>
      <c r="E167" s="189"/>
      <c r="G167" s="178" t="s">
        <v>43</v>
      </c>
      <c r="H167" s="176"/>
      <c r="I167" s="177"/>
      <c r="J167" s="176"/>
      <c r="K167" s="177">
        <f>SUM(K166:K166)</f>
        <v>163.80000000000001</v>
      </c>
      <c r="L167" s="201" t="s">
        <v>22</v>
      </c>
    </row>
    <row r="168" spans="1:12" s="183" customFormat="1" x14ac:dyDescent="0.2">
      <c r="A168" s="179"/>
      <c r="B168" s="193" t="s">
        <v>28</v>
      </c>
      <c r="C168" s="192"/>
      <c r="D168" s="176"/>
      <c r="E168" s="189"/>
      <c r="F168" s="188"/>
      <c r="G168" s="187"/>
    </row>
    <row r="169" spans="1:12" s="183" customFormat="1" ht="57" x14ac:dyDescent="0.2">
      <c r="A169" s="179">
        <f>A165+1</f>
        <v>19</v>
      </c>
      <c r="B169" s="180" t="s">
        <v>65</v>
      </c>
      <c r="C169" s="192"/>
      <c r="D169" s="176"/>
      <c r="E169" s="189"/>
      <c r="F169" s="188"/>
      <c r="G169" s="187"/>
    </row>
    <row r="170" spans="1:12" s="183" customFormat="1" x14ac:dyDescent="0.2">
      <c r="A170" s="185"/>
      <c r="B170" s="193" t="s">
        <v>60</v>
      </c>
      <c r="C170" s="198">
        <f>K148</f>
        <v>12.600000000000001</v>
      </c>
      <c r="D170" s="200"/>
      <c r="E170" s="199"/>
      <c r="F170" s="183" t="s">
        <v>22</v>
      </c>
      <c r="G170" s="187"/>
      <c r="H170" s="188" t="s">
        <v>59</v>
      </c>
      <c r="I170" s="198">
        <v>2.25</v>
      </c>
      <c r="J170" s="186" t="s">
        <v>42</v>
      </c>
      <c r="K170" s="177">
        <f>C170*I170</f>
        <v>28.35</v>
      </c>
      <c r="L170" s="190" t="s">
        <v>22</v>
      </c>
    </row>
    <row r="171" spans="1:12" s="183" customFormat="1" x14ac:dyDescent="0.2">
      <c r="A171" s="185"/>
      <c r="B171" s="193" t="s">
        <v>61</v>
      </c>
      <c r="C171" s="198">
        <f>K131</f>
        <v>19.439999999999998</v>
      </c>
      <c r="D171" s="200"/>
      <c r="E171" s="199"/>
      <c r="F171" s="183" t="s">
        <v>22</v>
      </c>
      <c r="G171" s="187"/>
      <c r="H171" s="188" t="s">
        <v>59</v>
      </c>
      <c r="I171" s="198">
        <v>2.6</v>
      </c>
      <c r="J171" s="186" t="s">
        <v>42</v>
      </c>
      <c r="K171" s="177">
        <f>C171*I171</f>
        <v>50.543999999999997</v>
      </c>
      <c r="L171" s="190" t="s">
        <v>22</v>
      </c>
    </row>
    <row r="172" spans="1:12" s="183" customFormat="1" ht="15" x14ac:dyDescent="0.2">
      <c r="A172" s="185"/>
      <c r="B172" s="193"/>
      <c r="C172" s="185"/>
      <c r="D172" s="176"/>
      <c r="E172" s="189"/>
      <c r="I172" s="197" t="s">
        <v>43</v>
      </c>
      <c r="J172" s="196" t="s">
        <v>42</v>
      </c>
      <c r="K172" s="195">
        <f>SUM(K170:K171)</f>
        <v>78.894000000000005</v>
      </c>
      <c r="L172" s="194" t="s">
        <v>22</v>
      </c>
    </row>
    <row r="173" spans="1:12" s="183" customFormat="1" x14ac:dyDescent="0.2">
      <c r="A173" s="179"/>
      <c r="B173" s="180"/>
      <c r="C173" s="192"/>
      <c r="D173" s="176"/>
      <c r="E173" s="189"/>
      <c r="F173" s="188"/>
      <c r="G173" s="187"/>
    </row>
    <row r="174" spans="1:12" s="183" customFormat="1" ht="42.75" x14ac:dyDescent="0.2">
      <c r="A174" s="179">
        <f>A169+1</f>
        <v>20</v>
      </c>
      <c r="B174" s="193" t="s">
        <v>30</v>
      </c>
      <c r="C174" s="192"/>
      <c r="D174" s="176"/>
      <c r="E174" s="189"/>
      <c r="F174" s="188"/>
      <c r="G174" s="187"/>
    </row>
    <row r="175" spans="1:12" s="183" customFormat="1" ht="15" x14ac:dyDescent="0.2">
      <c r="A175" s="179"/>
      <c r="B175" s="180" t="s">
        <v>62</v>
      </c>
      <c r="C175" s="192"/>
      <c r="D175" s="176"/>
      <c r="E175" s="189"/>
      <c r="F175" s="188"/>
      <c r="G175" s="187"/>
      <c r="K175" s="191">
        <f>K172</f>
        <v>78.894000000000005</v>
      </c>
      <c r="L175" s="190" t="s">
        <v>22</v>
      </c>
    </row>
    <row r="176" spans="1:12" s="145" customFormat="1" ht="120" x14ac:dyDescent="0.2">
      <c r="A176" s="241">
        <f>LOOKUP(2,1/(A$1:A175&lt;&gt;""),A$1:A175)+1</f>
        <v>21</v>
      </c>
      <c r="B176" s="259" t="str">
        <f>FF_ABS!B26</f>
        <v xml:space="preserve">Providing, hoisting and fixing up to floor five level precast reinforced concrete work in Nominal M20 grade mix including cost of required centering, shuttering, finishing, smooth with 6 mm thick cement plaster 1:3 (1 cement: 3 fine sand) on exposed surface complete excluding cost of reinforcement </v>
      </c>
      <c r="C176" s="192"/>
      <c r="D176" s="176"/>
      <c r="E176" s="189"/>
      <c r="F176" s="188"/>
      <c r="G176" s="187"/>
      <c r="H176" s="183"/>
      <c r="I176" s="183"/>
      <c r="J176" s="183"/>
      <c r="K176" s="183"/>
      <c r="L176" s="183"/>
    </row>
    <row r="177" spans="1:12" s="183" customFormat="1" x14ac:dyDescent="0.2">
      <c r="A177" s="179"/>
      <c r="B177" s="211"/>
      <c r="C177" s="192">
        <v>1</v>
      </c>
      <c r="D177" s="176" t="s">
        <v>41</v>
      </c>
      <c r="E177" s="189">
        <f>GF1_MES!K14</f>
        <v>42</v>
      </c>
      <c r="F177" s="188" t="s">
        <v>41</v>
      </c>
      <c r="G177" s="187">
        <v>0.3</v>
      </c>
      <c r="H177" s="188" t="s">
        <v>41</v>
      </c>
      <c r="I177" s="187">
        <v>0.05</v>
      </c>
      <c r="J177" s="183" t="s">
        <v>42</v>
      </c>
      <c r="K177" s="189">
        <f>E177*G177*I177</f>
        <v>0.63</v>
      </c>
      <c r="L177" s="190" t="s">
        <v>20</v>
      </c>
    </row>
    <row r="178" spans="1:12" s="183" customFormat="1" ht="15" x14ac:dyDescent="0.2">
      <c r="A178" s="185"/>
      <c r="B178" s="180"/>
      <c r="C178" s="179"/>
      <c r="D178" s="176"/>
      <c r="E178" s="189"/>
      <c r="G178" s="197" t="s">
        <v>43</v>
      </c>
      <c r="H178" s="210"/>
      <c r="I178" s="209"/>
      <c r="J178" s="210"/>
      <c r="K178" s="195">
        <f>SUM(K177)</f>
        <v>0.63</v>
      </c>
      <c r="L178" s="212" t="s">
        <v>20</v>
      </c>
    </row>
    <row r="179" spans="1:12" s="183" customFormat="1" x14ac:dyDescent="0.2">
      <c r="A179" s="179"/>
      <c r="B179" s="180"/>
      <c r="C179" s="192"/>
      <c r="D179" s="176"/>
      <c r="E179" s="189"/>
      <c r="F179" s="188"/>
      <c r="G179" s="187"/>
    </row>
    <row r="180" spans="1:12" s="145" customFormat="1" ht="105" x14ac:dyDescent="0.2">
      <c r="A180" s="241">
        <f>LOOKUP(2,1/(A$1:A176&lt;&gt;""),A$1:A176)+1</f>
        <v>22</v>
      </c>
      <c r="B180" s="259" t="s">
        <v>117</v>
      </c>
      <c r="C180" s="192"/>
      <c r="D180" s="176"/>
      <c r="E180" s="189"/>
      <c r="F180" s="188"/>
      <c r="G180" s="187"/>
      <c r="H180" s="183"/>
      <c r="I180" s="183"/>
      <c r="J180" s="183"/>
      <c r="K180" s="183"/>
      <c r="L180" s="183"/>
    </row>
    <row r="181" spans="1:12" s="183" customFormat="1" x14ac:dyDescent="0.2">
      <c r="A181" s="185"/>
      <c r="B181" s="180"/>
      <c r="C181" s="179">
        <v>1</v>
      </c>
      <c r="D181" s="216" t="s">
        <v>41</v>
      </c>
      <c r="E181" s="187">
        <f>E184</f>
        <v>5.54</v>
      </c>
      <c r="F181" s="245" t="s">
        <v>41</v>
      </c>
      <c r="G181" s="187">
        <f>E185</f>
        <v>14.54</v>
      </c>
      <c r="H181" s="216" t="s">
        <v>41</v>
      </c>
      <c r="I181" s="178">
        <v>0.13</v>
      </c>
      <c r="J181" s="215" t="s">
        <v>42</v>
      </c>
      <c r="K181" s="178">
        <f>IF(C181,C181*E181*G181*I181,"")</f>
        <v>10.471708</v>
      </c>
      <c r="L181" s="190" t="s">
        <v>20</v>
      </c>
    </row>
    <row r="182" spans="1:12" s="183" customFormat="1" ht="15" x14ac:dyDescent="0.2">
      <c r="A182" s="185"/>
      <c r="B182" s="180"/>
      <c r="C182" s="179"/>
      <c r="D182" s="176"/>
      <c r="E182" s="195"/>
      <c r="F182" s="213"/>
      <c r="G182" s="214" t="s">
        <v>98</v>
      </c>
      <c r="H182" s="213"/>
      <c r="I182" s="195"/>
      <c r="J182" s="213"/>
      <c r="K182" s="195">
        <f>SUM(K181:K181)</f>
        <v>10.471708</v>
      </c>
      <c r="L182" s="212" t="s">
        <v>20</v>
      </c>
    </row>
    <row r="183" spans="1:12" s="145" customFormat="1" ht="75" x14ac:dyDescent="0.2">
      <c r="A183" s="241">
        <f>LOOKUP(2,1/(A$1:A180&lt;&gt;""),A$1:A180)+1</f>
        <v>23</v>
      </c>
      <c r="B183" s="259" t="s">
        <v>114</v>
      </c>
      <c r="C183" s="192"/>
      <c r="D183" s="176"/>
      <c r="E183" s="189"/>
      <c r="F183" s="188"/>
      <c r="G183" s="187"/>
      <c r="H183" s="183"/>
      <c r="I183" s="183"/>
      <c r="J183" s="183"/>
      <c r="K183" s="183"/>
      <c r="L183" s="183"/>
    </row>
    <row r="184" spans="1:12" s="183" customFormat="1" x14ac:dyDescent="0.2">
      <c r="A184" s="179"/>
      <c r="B184" s="229"/>
      <c r="C184" s="179">
        <v>2</v>
      </c>
      <c r="D184" s="176" t="s">
        <v>41</v>
      </c>
      <c r="E184" s="189">
        <f>GF1_MES!E9-0.46</f>
        <v>5.54</v>
      </c>
      <c r="G184" s="189"/>
      <c r="J184" s="224" t="s">
        <v>42</v>
      </c>
      <c r="K184" s="189">
        <f>IF(C184,C184*E184,"")</f>
        <v>11.08</v>
      </c>
      <c r="L184" s="201" t="s">
        <v>29</v>
      </c>
    </row>
    <row r="185" spans="1:12" s="183" customFormat="1" x14ac:dyDescent="0.2">
      <c r="A185" s="179"/>
      <c r="B185" s="229"/>
      <c r="C185" s="179">
        <v>2</v>
      </c>
      <c r="D185" s="176" t="s">
        <v>41</v>
      </c>
      <c r="E185" s="189">
        <f>E10-0.46</f>
        <v>14.54</v>
      </c>
      <c r="G185" s="189"/>
      <c r="J185" s="224" t="s">
        <v>42</v>
      </c>
      <c r="K185" s="189">
        <f>IF(C185,C185*E185,"")</f>
        <v>29.08</v>
      </c>
      <c r="L185" s="201" t="s">
        <v>29</v>
      </c>
    </row>
    <row r="186" spans="1:12" s="183" customFormat="1" ht="15" x14ac:dyDescent="0.2">
      <c r="A186" s="185"/>
      <c r="B186" s="180"/>
      <c r="C186" s="179"/>
      <c r="D186" s="176"/>
      <c r="E186" s="220"/>
      <c r="F186" s="213"/>
      <c r="G186" s="214" t="s">
        <v>31</v>
      </c>
      <c r="H186" s="213"/>
      <c r="I186" s="195"/>
      <c r="J186" s="213"/>
      <c r="K186" s="195">
        <f>SUM(K184:K185)</f>
        <v>40.159999999999997</v>
      </c>
      <c r="L186" s="201" t="s">
        <v>29</v>
      </c>
    </row>
    <row r="187" spans="1:12" s="183" customFormat="1" ht="15" x14ac:dyDescent="0.2">
      <c r="A187" s="179"/>
      <c r="B187" s="180"/>
      <c r="C187" s="192"/>
      <c r="D187" s="176"/>
      <c r="E187" s="189"/>
      <c r="F187" s="188"/>
      <c r="G187" s="187"/>
      <c r="K187" s="191"/>
      <c r="L187" s="190"/>
    </row>
    <row r="188" spans="1:12" s="183" customFormat="1" x14ac:dyDescent="0.2">
      <c r="A188" s="185"/>
      <c r="B188" s="180"/>
      <c r="C188" s="179"/>
      <c r="D188" s="190"/>
      <c r="E188" s="189"/>
      <c r="F188" s="188"/>
      <c r="G188" s="187"/>
      <c r="H188" s="176"/>
      <c r="I188" s="177"/>
      <c r="J188" s="186"/>
      <c r="K188" s="177"/>
      <c r="L188" s="181"/>
    </row>
    <row r="189" spans="1:12" s="183" customFormat="1" ht="15" x14ac:dyDescent="0.2">
      <c r="A189" s="185"/>
      <c r="B189" s="180"/>
      <c r="C189" s="184" t="s">
        <v>1</v>
      </c>
      <c r="D189" s="184"/>
      <c r="E189" s="184"/>
      <c r="F189" s="184"/>
      <c r="G189" s="184"/>
      <c r="H189" s="184"/>
      <c r="I189" s="184"/>
      <c r="J189" s="184"/>
      <c r="K189" s="184"/>
      <c r="L189" s="181"/>
    </row>
    <row r="190" spans="1:12" ht="15" x14ac:dyDescent="0.2">
      <c r="A190" s="179"/>
      <c r="B190" s="182" t="str">
        <f>FF_ABS!D33</f>
        <v>RKS TECHNO-LEGAL CONSULTANTS, UDAIPUR</v>
      </c>
      <c r="C190" s="182"/>
      <c r="D190" s="182"/>
      <c r="E190" s="182"/>
      <c r="F190" s="182"/>
      <c r="G190" s="182"/>
      <c r="H190" s="182"/>
      <c r="I190" s="182"/>
      <c r="J190" s="182"/>
      <c r="K190" s="182"/>
    </row>
    <row r="191" spans="1:12" x14ac:dyDescent="0.2">
      <c r="A191" s="179"/>
    </row>
  </sheetData>
  <mergeCells count="8">
    <mergeCell ref="A1:L2"/>
    <mergeCell ref="C80:D80"/>
    <mergeCell ref="B190:K190"/>
    <mergeCell ref="C189:K189"/>
    <mergeCell ref="G138:H138"/>
    <mergeCell ref="A3:L3"/>
    <mergeCell ref="A4:L4"/>
    <mergeCell ref="C81:D81"/>
  </mergeCells>
  <dataValidations count="1">
    <dataValidation type="decimal" allowBlank="1" showInputMessage="1" showErrorMessage="1" errorTitle="Invalid Entry" error="Only Numeric Values are allowed." sqref="A39 A49 A44 A23 A34 A28 A79 A76 A61:A62 A114 A118 A122 A150 A154 A157 A183 A180 A176 A58">
      <formula1>0</formula1>
      <formula2>999999999999999</formula2>
    </dataValidation>
  </dataValidations>
  <printOptions horizontalCentered="1"/>
  <pageMargins left="0.75" right="0.75" top="0.76" bottom="1" header="0.5" footer="0.5"/>
  <pageSetup paperSize="9" scale="90" fitToHeight="11" orientation="portrait" horizontalDpi="180" verticalDpi="180" r:id="rId1"/>
  <headerFooter alignWithMargins="0">
    <oddFooter>&amp;Cmeasurements&amp;R&amp;P</oddFooter>
  </headerFooter>
  <rowBreaks count="2" manualBreakCount="2">
    <brk id="124" max="17" man="1"/>
    <brk id="13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gen-abstract</vt:lpstr>
      <vt:lpstr>GF1_ABS</vt:lpstr>
      <vt:lpstr>GF1_MES</vt:lpstr>
      <vt:lpstr>FF_ABS</vt:lpstr>
      <vt:lpstr>FF_MES</vt:lpstr>
      <vt:lpstr>FF_ABS!Print_Titles</vt:lpstr>
      <vt:lpstr>FF_MES!Print_Titles</vt:lpstr>
      <vt:lpstr>GF1_ABS!Print_Titles</vt:lpstr>
      <vt:lpstr>GF1_MES!Print_Titles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cp:lastModifiedBy>
  <cp:lastPrinted>2025-10-26T19:54:35Z</cp:lastPrinted>
  <dcterms:created xsi:type="dcterms:W3CDTF">1999-05-10T10:55:35Z</dcterms:created>
  <dcterms:modified xsi:type="dcterms:W3CDTF">2025-10-26T19:56:32Z</dcterms:modified>
</cp:coreProperties>
</file>